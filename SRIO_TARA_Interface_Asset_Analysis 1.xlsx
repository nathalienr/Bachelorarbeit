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fmworld-my.sharepoint.com/personal/nathalie_nuber_ifm_com/Documents/Documents/DHBW/Bachelorarbeit/Bachelorarbeit/"/>
    </mc:Choice>
  </mc:AlternateContent>
  <xr:revisionPtr revIDLastSave="20" documentId="8_{E22A6639-DAED-47CA-A10A-2DDFC373D975}" xr6:coauthVersionLast="47" xr6:coauthVersionMax="47" xr10:uidLastSave="{DDDBF3A0-710E-479B-A158-04ED33CF3B20}"/>
  <bookViews>
    <workbookView xWindow="28680" yWindow="-120" windowWidth="29040" windowHeight="15720" activeTab="2" xr2:uid="{00000000-000D-0000-FFFF-FFFF00000000}"/>
  </bookViews>
  <sheets>
    <sheet name="README" sheetId="1" r:id="rId1"/>
    <sheet name="Dashboard" sheetId="2" r:id="rId2"/>
    <sheet name="SUC_Assumptions" sheetId="3" r:id="rId3"/>
    <sheet name="Assets" sheetId="4" r:id="rId4"/>
    <sheet name="Interfaces" sheetId="5" r:id="rId5"/>
    <sheet name="Risk_Matrix" sheetId="6" r:id="rId6"/>
    <sheet name="TARA" sheetId="7" r:id="rId7"/>
    <sheet name="Requirements" sheetId="8" r:id="rId8"/>
    <sheet name="Interface_Asset_Matrix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7" l="1"/>
  <c r="S28" i="7" s="1"/>
  <c r="L28" i="7"/>
  <c r="M28" i="7" s="1"/>
  <c r="R27" i="7"/>
  <c r="S27" i="7" s="1"/>
  <c r="L27" i="7"/>
  <c r="M27" i="7" s="1"/>
  <c r="R26" i="7"/>
  <c r="S26" i="7" s="1"/>
  <c r="L26" i="7"/>
  <c r="M26" i="7" s="1"/>
  <c r="R25" i="7"/>
  <c r="S25" i="7" s="1"/>
  <c r="L25" i="7"/>
  <c r="M25" i="7" s="1"/>
  <c r="R24" i="7"/>
  <c r="S24" i="7" s="1"/>
  <c r="L24" i="7"/>
  <c r="M24" i="7" s="1"/>
  <c r="R23" i="7"/>
  <c r="S23" i="7" s="1"/>
  <c r="L23" i="7"/>
  <c r="M23" i="7" s="1"/>
  <c r="R22" i="7"/>
  <c r="S22" i="7" s="1"/>
  <c r="L22" i="7"/>
  <c r="M22" i="7" s="1"/>
  <c r="R21" i="7"/>
  <c r="S21" i="7" s="1"/>
  <c r="L21" i="7"/>
  <c r="M21" i="7" s="1"/>
  <c r="R20" i="7"/>
  <c r="S20" i="7" s="1"/>
  <c r="L20" i="7"/>
  <c r="M20" i="7" s="1"/>
  <c r="R19" i="7"/>
  <c r="S19" i="7" s="1"/>
  <c r="L19" i="7"/>
  <c r="M19" i="7" s="1"/>
  <c r="R18" i="7"/>
  <c r="S18" i="7" s="1"/>
  <c r="L18" i="7"/>
  <c r="M18" i="7" s="1"/>
  <c r="R17" i="7"/>
  <c r="S17" i="7" s="1"/>
  <c r="L17" i="7"/>
  <c r="M17" i="7" s="1"/>
  <c r="R16" i="7"/>
  <c r="S16" i="7" s="1"/>
  <c r="L16" i="7"/>
  <c r="M16" i="7" s="1"/>
  <c r="R15" i="7"/>
  <c r="S15" i="7" s="1"/>
  <c r="L15" i="7"/>
  <c r="M15" i="7" s="1"/>
  <c r="R14" i="7"/>
  <c r="S14" i="7" s="1"/>
  <c r="L14" i="7"/>
  <c r="M14" i="7" s="1"/>
  <c r="R13" i="7"/>
  <c r="S13" i="7" s="1"/>
  <c r="L13" i="7"/>
  <c r="M13" i="7" s="1"/>
  <c r="R12" i="7"/>
  <c r="S12" i="7" s="1"/>
  <c r="L12" i="7"/>
  <c r="M12" i="7" s="1"/>
  <c r="R11" i="7"/>
  <c r="S11" i="7" s="1"/>
  <c r="L11" i="7"/>
  <c r="M11" i="7" s="1"/>
  <c r="R10" i="7"/>
  <c r="S10" i="7" s="1"/>
  <c r="L10" i="7"/>
  <c r="M10" i="7" s="1"/>
  <c r="R9" i="7"/>
  <c r="S9" i="7" s="1"/>
  <c r="L9" i="7"/>
  <c r="M9" i="7" s="1"/>
  <c r="R8" i="7"/>
  <c r="S8" i="7" s="1"/>
  <c r="L8" i="7"/>
  <c r="M8" i="7" s="1"/>
  <c r="R7" i="7"/>
  <c r="S7" i="7" s="1"/>
  <c r="L7" i="7"/>
  <c r="M7" i="7" s="1"/>
  <c r="R6" i="7"/>
  <c r="S6" i="7" s="1"/>
  <c r="L6" i="7"/>
  <c r="M6" i="7" s="1"/>
  <c r="R5" i="7"/>
  <c r="S5" i="7" s="1"/>
  <c r="L5" i="7"/>
  <c r="M5" i="7" s="1"/>
  <c r="R4" i="7"/>
  <c r="S4" i="7" s="1"/>
  <c r="L4" i="7"/>
  <c r="M4" i="7" s="1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Cybersecurity_Process.html: TARA goal, SUC scope, limits of low-voltage equipment, documentation outputs.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W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Source column cites the user-provided reference document in plain text as required for spreadsheet traceability.</t>
        </r>
      </text>
    </comment>
  </commentList>
</comments>
</file>

<file path=xl/sharedStrings.xml><?xml version="1.0" encoding="utf-8"?>
<sst xmlns="http://schemas.openxmlformats.org/spreadsheetml/2006/main" count="898" uniqueCount="543">
  <si>
    <t>SRIO TARA - Interface based Asset Analysis</t>
  </si>
  <si>
    <t>Created from the provided Cybersecurity Process reference document. Scope: product-level TARA for SRIO via interfaces and affected assets.</t>
  </si>
  <si>
    <t>Topic</t>
  </si>
  <si>
    <t>Description</t>
  </si>
  <si>
    <t>Purpose</t>
  </si>
  <si>
    <t>Threat Analysis and Risk Assessment for SRIO focusing on interfaces, data flows and affected assets.</t>
  </si>
  <si>
    <t>Method</t>
  </si>
  <si>
    <t>Interface -&gt; Asset -&gt; Threat Scenario -&gt; Impact/Likelihood -&gt; Risk Treatment -&gt; Residual Risk.</t>
  </si>
  <si>
    <t>Scoring</t>
  </si>
  <si>
    <t>Likelihood and Impact are rated 1..5. Risk Score = Likelihood x Impact. Levels: Low &lt;=4, Medium 5..9, High 10..15, Critical &gt;=16.</t>
  </si>
  <si>
    <t>Important assumption</t>
  </si>
  <si>
    <t>The document states SRIO product-level TARA does not replace plant/system-level risk assessment or operator environmental measures.</t>
  </si>
  <si>
    <t>Source</t>
  </si>
  <si>
    <t>Cybersecurity_Process.html, provided by user. Plain source reference is included in the Source columns and comments.</t>
  </si>
  <si>
    <t>How to use</t>
  </si>
  <si>
    <t>Review orange TBD/Review fields, adapt likelihood/impact in the TARA sheet, assign owners and due dates, then confirm residual risks.</t>
  </si>
  <si>
    <t>TARA Dashboard</t>
  </si>
  <si>
    <t>Metric</t>
  </si>
  <si>
    <t>Value</t>
  </si>
  <si>
    <t>Top interfaces by scenario count</t>
  </si>
  <si>
    <t>Total TARA scenarios</t>
  </si>
  <si>
    <t>Interface ID</t>
  </si>
  <si>
    <t>Scenario count</t>
  </si>
  <si>
    <t>Initial Critical</t>
  </si>
  <si>
    <t>IF-04</t>
  </si>
  <si>
    <t>Initial High</t>
  </si>
  <si>
    <t>IF-03</t>
  </si>
  <si>
    <t>Residual Critical</t>
  </si>
  <si>
    <t>IF-05</t>
  </si>
  <si>
    <t>Residual High</t>
  </si>
  <si>
    <t>IF-01</t>
  </si>
  <si>
    <t>Open items</t>
  </si>
  <si>
    <t>IF-02</t>
  </si>
  <si>
    <t>Review items</t>
  </si>
  <si>
    <t>IF-06</t>
  </si>
  <si>
    <t>IF-07</t>
  </si>
  <si>
    <t>IF-08</t>
  </si>
  <si>
    <t>IF-09</t>
  </si>
  <si>
    <t>IF-10</t>
  </si>
  <si>
    <t>IF-11</t>
  </si>
  <si>
    <t>IF-12</t>
  </si>
  <si>
    <t>IF-01/03</t>
  </si>
  <si>
    <t>IF-01/02</t>
  </si>
  <si>
    <t>SUC Boundaries, Scope and Assumptions</t>
  </si>
  <si>
    <t>Category</t>
  </si>
  <si>
    <t>Statement</t>
  </si>
  <si>
    <t>Responsibility</t>
  </si>
  <si>
    <t>TARA relevance</t>
  </si>
  <si>
    <t>System</t>
  </si>
  <si>
    <t>SRIO is a functionally safe remote I/O module in a PROFINET/PROFIsafe network, acting as safe gateway between sensors/actuators and F-Host.</t>
  </si>
  <si>
    <t>Product</t>
  </si>
  <si>
    <t>Defines protected system and safety role.</t>
  </si>
  <si>
    <t>Cybersecurity_Process.html</t>
  </si>
  <si>
    <t>Safety context</t>
  </si>
  <si>
    <t>Safety context includes IEC 61508 SIL3 and EN ISO 13849-1 PL e Cat.4.</t>
  </si>
  <si>
    <t>High safety impact if safety assets are compromised.</t>
  </si>
  <si>
    <t>Included scope</t>
  </si>
  <si>
    <t>Product-level cybersecurity analysis for COM, SCPU, IPC, field interfaces and IoTCore interface.</t>
  </si>
  <si>
    <t>Defines analyzed modules and interfaces.</t>
  </si>
  <si>
    <t>Excluded scope</t>
  </si>
  <si>
    <t>Complete plant/network architecture risk treatment, third-party PLC hardening and customer-specific remote access are out of scope.</t>
  </si>
  <si>
    <t>Operator/Integrator</t>
  </si>
  <si>
    <t>External dependencies must be documented separately.</t>
  </si>
  <si>
    <t>Environment</t>
  </si>
  <si>
    <t>Operation is assumed in an IEC EN 62443-1-1 compliant environment with additional system-side measures.</t>
  </si>
  <si>
    <t>Limits product-level treatment; environmental requirements required.</t>
  </si>
  <si>
    <t>Exposure</t>
  </si>
  <si>
    <t>Typical deployment is fieldbus level / machine network / cell level. Direct internet exposure is not intended.</t>
  </si>
  <si>
    <t>Defines likelihood assumptions for network attacks.</t>
  </si>
  <si>
    <t>Physical protection</t>
  </si>
  <si>
    <t>Physical protection is part of operator responsibility based on risk analysis.</t>
  </si>
  <si>
    <t>Local manipulation risks require external controls.</t>
  </si>
  <si>
    <t>Trust assumption TB1</t>
  </si>
  <si>
    <t>A compromised communication channel must not directly affect the Safety Domain.</t>
  </si>
  <si>
    <t>Drives separation and verification requirements.</t>
  </si>
  <si>
    <t>Trust assumption TB2</t>
  </si>
  <si>
    <t>The Safe CPU detects manipulated data from COM module.</t>
  </si>
  <si>
    <t>Drives internal data validation requirements.</t>
  </si>
  <si>
    <t>Trust assumption TB3</t>
  </si>
  <si>
    <t>The Safe CPU does not trust Shared Flash but verifies the firmware image itself.</t>
  </si>
  <si>
    <t>Drives secure update verification requirements.</t>
  </si>
  <si>
    <t>SRIO Assets and Protection Objectives</t>
  </si>
  <si>
    <t>Asset ID</t>
  </si>
  <si>
    <t>Asset</t>
  </si>
  <si>
    <t>Primary protection objectives</t>
  </si>
  <si>
    <t>Typical affected resources</t>
  </si>
  <si>
    <t>A</t>
  </si>
  <si>
    <t>Trusted Safety Function</t>
  </si>
  <si>
    <t>SRIO correctly executes its specified safety function.</t>
  </si>
  <si>
    <t>Integrity, Availability</t>
  </si>
  <si>
    <t>Safe CPU, SysCom, DI/DO, PROFIsafe channel</t>
  </si>
  <si>
    <t>B</t>
  </si>
  <si>
    <t>Integrity of Safety Configuration</t>
  </si>
  <si>
    <t>Safe behavior is determined by the intended configuration.</t>
  </si>
  <si>
    <t>Integrity, Authenticity</t>
  </si>
  <si>
    <t>Safe CPU, SysCom, CPU3/COM, PROFINET parameterization</t>
  </si>
  <si>
    <t>C</t>
  </si>
  <si>
    <t>Integrity and Authenticity of Safety-Relevant Process Data</t>
  </si>
  <si>
    <t>Input, output and PROFIsafe data correspond to the actual safety state.</t>
  </si>
  <si>
    <t>Integrity, Authenticity, Availability</t>
  </si>
  <si>
    <t>Safe CPU, SysCom, CPU3/COM, PROFIsafe channel, DI/DO</t>
  </si>
  <si>
    <t>D</t>
  </si>
  <si>
    <t>Authenticity and Integrity of Safety Software</t>
  </si>
  <si>
    <t>Bootloader and firmware remain authentic and unmodified.</t>
  </si>
  <si>
    <t>Authenticity, Integrity</t>
  </si>
  <si>
    <t>Safe CPU, COM CPU, Shared Flash, IoT interface, update workflow</t>
  </si>
  <si>
    <t>E</t>
  </si>
  <si>
    <t>Integrity of Safety Monitoring</t>
  </si>
  <si>
    <t>Self-tests, plausibility checks, diagnostics and fault responses remain trustworthy.</t>
  </si>
  <si>
    <t>Safe CPU, SysCom, diagnostics, watchdog</t>
  </si>
  <si>
    <t>F</t>
  </si>
  <si>
    <t>Separation of Safety and Non-Safety Domain</t>
  </si>
  <si>
    <t>A compromised COM system must not affect the integrity of the safety function.</t>
  </si>
  <si>
    <t>Integrity, Isolation, Availability</t>
  </si>
  <si>
    <t>Safe CPU, SysCom, COM, IoT, Shared Flash</t>
  </si>
  <si>
    <t>G</t>
  </si>
  <si>
    <t>Integrity of Operating Mode</t>
  </si>
  <si>
    <t>Test and update functions must not be activated or used without authorization.</t>
  </si>
  <si>
    <t>Rotary switches, IoT service functions, update mode, COM/SCPU control path</t>
  </si>
  <si>
    <t>H</t>
  </si>
  <si>
    <t>SRIO Functionality</t>
  </si>
  <si>
    <t>Availability of SRIO functionality shall be ensured.</t>
  </si>
  <si>
    <t>Availability, Fail-safe behavior</t>
  </si>
  <si>
    <t>Power supply, COM, SCPU, network channels, field I/O</t>
  </si>
  <si>
    <t>SRIO Interfaces and Data Flows</t>
  </si>
  <si>
    <t>Interface / Boundary</t>
  </si>
  <si>
    <t>Type</t>
  </si>
  <si>
    <t>Direction</t>
  </si>
  <si>
    <t>Protocol / Medium</t>
  </si>
  <si>
    <t>Relevant data flows</t>
  </si>
  <si>
    <t>Trust boundary</t>
  </si>
  <si>
    <t>Affected assets</t>
  </si>
  <si>
    <t>Main resources</t>
  </si>
  <si>
    <t>Ethernet / PROFINET</t>
  </si>
  <si>
    <t>External</t>
  </si>
  <si>
    <t>Bidirectional</t>
  </si>
  <si>
    <t>PROFINET over Ethernet M12 D-coded</t>
  </si>
  <si>
    <t>Cyclic/acyclic PROFINET communication, parameterization, network services</t>
  </si>
  <si>
    <t>TB1 External World -&gt; COM</t>
  </si>
  <si>
    <t>B, C, F, H</t>
  </si>
  <si>
    <t>COM CPU, NetX90, PROFINET channel</t>
  </si>
  <si>
    <t>PROFIsafe over PROFINET</t>
  </si>
  <si>
    <t>External logical safety channel</t>
  </si>
  <si>
    <t>PROFIsafe black-channel over PROFINET</t>
  </si>
  <si>
    <t>Safety process data, F-Host communication</t>
  </si>
  <si>
    <t>TB1 External World -&gt; COM; TB2 COM -&gt; Safety</t>
  </si>
  <si>
    <t>A, C, F, H</t>
  </si>
  <si>
    <t>PROFIsafe channel, COM, SCPU, SysCom</t>
  </si>
  <si>
    <t>IoTCore service interface</t>
  </si>
  <si>
    <t>HTTP/JSON</t>
  </si>
  <si>
    <t>Diagnostics, monitoring, error log, firmware update handling, device information</t>
  </si>
  <si>
    <t>D, E, G, F, H</t>
  </si>
  <si>
    <t>IoT interface, COM CPU, Shared Flash</t>
  </si>
  <si>
    <t>SysCom</t>
  </si>
  <si>
    <t>Internal</t>
  </si>
  <si>
    <t>SPI between COM/CPU3 and SCPU</t>
  </si>
  <si>
    <t>Configuration data, process data, diagnostics, heartbeat, update trigger, firmware reference</t>
  </si>
  <si>
    <t>TB2 COM Domain -&gt; Safety Domain</t>
  </si>
  <si>
    <t>A, B, C, D, E, F, G, H</t>
  </si>
  <si>
    <t>SysCom, COM, SCPU</t>
  </si>
  <si>
    <t>Shared Flash update path</t>
  </si>
  <si>
    <t>Non-volatile shared update flash</t>
  </si>
  <si>
    <t>Write/read firmware image, version information</t>
  </si>
  <si>
    <t>TB3 COM Domain &lt;-&gt; Shared Flash</t>
  </si>
  <si>
    <t>D, F, G, H</t>
  </si>
  <si>
    <t>Shared Flash, COM, SCPU</t>
  </si>
  <si>
    <t>Safety input terminals</t>
  </si>
  <si>
    <t>External field local</t>
  </si>
  <si>
    <t>Input to SRIO</t>
  </si>
  <si>
    <t>24V binary F-DI, associated supply</t>
  </si>
  <si>
    <t>Sensor states, input diagnostics</t>
  </si>
  <si>
    <t>Field device boundary</t>
  </si>
  <si>
    <t>A, C, E, H</t>
  </si>
  <si>
    <t>DI, SCPU</t>
  </si>
  <si>
    <t>Safety output terminals</t>
  </si>
  <si>
    <t>Output from SRIO</t>
  </si>
  <si>
    <t>24V binary F-DO, associated supply</t>
  </si>
  <si>
    <t>Actuator commands, safe switch-off, maintained OFF state</t>
  </si>
  <si>
    <t>DO, SCPU</t>
  </si>
  <si>
    <t>Rotary switches</t>
  </si>
  <si>
    <t>External local</t>
  </si>
  <si>
    <t>Physical local switch</t>
  </si>
  <si>
    <t>Addressing / update mode / function selection</t>
  </si>
  <si>
    <t>Local physical boundary</t>
  </si>
  <si>
    <t>B, G, F, H</t>
  </si>
  <si>
    <t>Rotary switches, SCPU</t>
  </si>
  <si>
    <t>JTAG / debug interfaces</t>
  </si>
  <si>
    <t>Internal/service</t>
  </si>
  <si>
    <t>Local physical</t>
  </si>
  <si>
    <t>Debug/service access</t>
  </si>
  <si>
    <t>CPU debug access, firmware/memory inspection or manipulation</t>
  </si>
  <si>
    <t>Physical/service boundary</t>
  </si>
  <si>
    <t>JTAG per CPU, SCPU, COM CPU</t>
  </si>
  <si>
    <t>Power supply / daisy-chain</t>
  </si>
  <si>
    <t>External physical</t>
  </si>
  <si>
    <t>Supply input/output</t>
  </si>
  <si>
    <t>Device supply US/UA</t>
  </si>
  <si>
    <t>Device supply, field I/O supply paths</t>
  </si>
  <si>
    <t>Installation boundary</t>
  </si>
  <si>
    <t>H, A</t>
  </si>
  <si>
    <t>Power supply, field supply</t>
  </si>
  <si>
    <t>LED status indication</t>
  </si>
  <si>
    <t>Local indicator</t>
  </si>
  <si>
    <t>Status indication and diagnostic observability</t>
  </si>
  <si>
    <t>Local observation boundary</t>
  </si>
  <si>
    <t>E, H</t>
  </si>
  <si>
    <t>LEDs, diagnostics</t>
  </si>
  <si>
    <t>IPC SCPU1 &lt;-&gt; SCPU2</t>
  </si>
  <si>
    <t>Internal cross communication</t>
  </si>
  <si>
    <t>1oo2 cross-communication and plausibility monitoring</t>
  </si>
  <si>
    <t>Safety internal boundary</t>
  </si>
  <si>
    <t>A, C, E, F, H</t>
  </si>
  <si>
    <t>SCPU1, SCPU2, IPC, watchdog</t>
  </si>
  <si>
    <t>Risk Scoring Matrix</t>
  </si>
  <si>
    <t>Impact \ Likelihood</t>
  </si>
  <si>
    <t>Risk level formula</t>
  </si>
  <si>
    <t>Low &lt;=4; Medium 5..9; High 10..15; Critical &gt;=16</t>
  </si>
  <si>
    <t>Risk acceptance</t>
  </si>
  <si>
    <t>Residual Critical/High must be explicitly accepted or further treated. Medium requires review. Low may be accepted if justified.</t>
  </si>
  <si>
    <t>Interface based Asset TARA</t>
  </si>
  <si>
    <t>TARA ID</t>
  </si>
  <si>
    <t>Interface / Data Flow</t>
  </si>
  <si>
    <t>Threat Category</t>
  </si>
  <si>
    <t>Threat scenario</t>
  </si>
  <si>
    <t>Affected Asset IDs</t>
  </si>
  <si>
    <t>Affected asset rationale</t>
  </si>
  <si>
    <t>Damage / impact description</t>
  </si>
  <si>
    <t>Existing controls or assumptions from source</t>
  </si>
  <si>
    <t>Likelihood (1-5)</t>
  </si>
  <si>
    <t>Impact (1-5)</t>
  </si>
  <si>
    <t>Initial Risk</t>
  </si>
  <si>
    <t>Initial Level</t>
  </si>
  <si>
    <t>Treatment decision</t>
  </si>
  <si>
    <t>Recommended security requirement / mitigation</t>
  </si>
  <si>
    <t>Residual Likelihood</t>
  </si>
  <si>
    <t>Residual Impact</t>
  </si>
  <si>
    <t>Residual Risk</t>
  </si>
  <si>
    <t>Residual Level</t>
  </si>
  <si>
    <t>Owner</t>
  </si>
  <si>
    <t>Status</t>
  </si>
  <si>
    <t>Verification / evidence</t>
  </si>
  <si>
    <t>TARA-001</t>
  </si>
  <si>
    <t>PROFINET parameterization</t>
  </si>
  <si>
    <t>Tampering</t>
  </si>
  <si>
    <t>Attacker manipulates PROFINET parameterization before or during commissioning.</t>
  </si>
  <si>
    <t>B, A, H</t>
  </si>
  <si>
    <t>Safety behavior depends on intended configuration.</t>
  </si>
  <si>
    <t>Incorrect device behavior, loss of intended safety configuration, possible unavailable safe function.</t>
  </si>
  <si>
    <t>Primary functional configuration by PLC/F-Host; Safe CPU is expected to validate manipulated data via TB2.</t>
  </si>
  <si>
    <t>Mitigate</t>
  </si>
  <si>
    <t>Validate safety-relevant configuration on SCPU with CRC/signature/consistency checks before activation. Reject invalid configuration and enter defined safe state.</t>
  </si>
  <si>
    <t>Product Security</t>
  </si>
  <si>
    <t>Open</t>
  </si>
  <si>
    <t>Configuration negative tests; CRC mismatch tests; safe-state evidence</t>
  </si>
  <si>
    <t>TARA-002</t>
  </si>
  <si>
    <t>PROFINET network services</t>
  </si>
  <si>
    <t>Denial of Service</t>
  </si>
  <si>
    <t>Malformed or excessive PROFINET traffic overloads COM or communication stack.</t>
  </si>
  <si>
    <t>H, F, A</t>
  </si>
  <si>
    <t>COM supports fieldbus communication but must not compromise safety domain.</t>
  </si>
  <si>
    <t>Loss of availability, delayed communication, potential fail-safe reaction.</t>
  </si>
  <si>
    <t>Direct internet exposure not intended; deployment in fieldbus/cell network.</t>
  </si>
  <si>
    <t>Rate-limit, robust input parsing, watchdog monitoring, and deterministic fail-safe behavior on communication loss.</t>
  </si>
  <si>
    <t>Robustness/fuzz tests; network overload tests; watchdog behavior</t>
  </si>
  <si>
    <t>TARA-003</t>
  </si>
  <si>
    <t>PROFIsafe telegrams</t>
  </si>
  <si>
    <t>Spoofing/Tampering</t>
  </si>
  <si>
    <t>Spoofed or manipulated PROFIsafe telegrams attempt to alter safe input/output process data.</t>
  </si>
  <si>
    <t>C, A, H</t>
  </si>
  <si>
    <t>Process data must correspond to actual safety state.</t>
  </si>
  <si>
    <t>Incorrect actuator command or reported sensor state. Potential safety function impact if not detected.</t>
  </si>
  <si>
    <t>PROFIsafe used as black-channel protocol over PROFINET.</t>
  </si>
  <si>
    <t>Rely on PROFIsafe safety mechanisms and verify integration assumptions; monitor communication errors and enter safe state on invalid telegrams.</t>
  </si>
  <si>
    <t>Safety/Security</t>
  </si>
  <si>
    <t>PROFIsafe conformance evidence; invalid telegram tests</t>
  </si>
  <si>
    <t>TARA-004</t>
  </si>
  <si>
    <t>PROFIsafe communication availability</t>
  </si>
  <si>
    <t>Communication interruption or repeated invalid safety telegrams suppress normal safety communication.</t>
  </si>
  <si>
    <t>H, A, C</t>
  </si>
  <si>
    <t>SRIO functionality and safety data availability are affected.</t>
  </si>
  <si>
    <t>SRIO enters fail-safe or unavailable state causing machine downtime.</t>
  </si>
  <si>
    <t>Availability and deterministic fail-safe are protection objectives.</t>
  </si>
  <si>
    <t>Define timeouts, safe-state behavior, diagnostic event logging and operator guidance for network outages.</t>
  </si>
  <si>
    <t>Timeout validation; diagnostic event evidence</t>
  </si>
  <si>
    <t>TARA-005</t>
  </si>
  <si>
    <t>IoT diagnostics / monitoring</t>
  </si>
  <si>
    <t>Information Disclosure</t>
  </si>
  <si>
    <t>Unauthorized IoTCore access reads diagnostics, device information, error log or service data.</t>
  </si>
  <si>
    <t>E, G, H</t>
  </si>
  <si>
    <t>Diagnostics may expose system status and service capabilities.</t>
  </si>
  <si>
    <t>Information gathering supports follow-on attacks or hides operational issues if combined with tampering.</t>
  </si>
  <si>
    <t>IoTCore uses HTTP/JSON for service functions and can be reachable from operator network.</t>
  </si>
  <si>
    <t>Authenticate service access, restrict endpoints by role, minimize sensitive data exposure, document required network segmentation.</t>
  </si>
  <si>
    <t>Access-control tests; endpoint review</t>
  </si>
  <si>
    <t>TARA-006</t>
  </si>
  <si>
    <t>IoT firmware update handling</t>
  </si>
  <si>
    <t>Elevation of Privilege/Tampering</t>
  </si>
  <si>
    <t>Unauthorized user triggers firmware update workflow or injects manipulated update container via IoT path.</t>
  </si>
  <si>
    <t>D, G, F, H</t>
  </si>
  <si>
    <t>Safety software and operating mode must remain authentic and authorized.</t>
  </si>
  <si>
    <t>Execution of unauthorized software or unintended update mode, possible device outage.</t>
  </si>
  <si>
    <t>Firmware update manipulation is listed as foreseeable misuse; TB3 assumes Safe CPU verifies firmware image.</t>
  </si>
  <si>
    <t>Require authenticated/authorized update trigger; cryptographic signature and version checks; fail-safe rollback or rejection for invalid image.</t>
  </si>
  <si>
    <t>Secure update tests; signature/downgrade tests</t>
  </si>
  <si>
    <t>TARA-007</t>
  </si>
  <si>
    <t>IoT test/service functions</t>
  </si>
  <si>
    <t>Elevation of Privilege</t>
  </si>
  <si>
    <t>Unauthorized use of service/test functions changes operating mode or influences safety behavior indirectly.</t>
  </si>
  <si>
    <t>G, F, A, H</t>
  </si>
  <si>
    <t>Test/update functions must not be activated without authorization.</t>
  </si>
  <si>
    <t>Unauthorized operating mode change, degraded function availability or inhibited safety function.</t>
  </si>
  <si>
    <t>IoTCore supports diagnostics, monitoring, update workflow and service functions.</t>
  </si>
  <si>
    <t>Implement role-based access control, mode gating, local confirmation where needed, and audit logging.</t>
  </si>
  <si>
    <t>Authorization tests; mode transition tests</t>
  </si>
  <si>
    <t>TARA-008</t>
  </si>
  <si>
    <t>IoT HTTP/JSON parser</t>
  </si>
  <si>
    <t>Tampering/DoS</t>
  </si>
  <si>
    <t>Malformed JSON or unexpected requests exploit COM parser or service handler.</t>
  </si>
  <si>
    <t>F, H, E</t>
  </si>
  <si>
    <t>Compromised COM must not affect safety function; diagnostics integrity must remain intact.</t>
  </si>
  <si>
    <t>COM compromise, service outage, potential attempt to cross into safety domain.</t>
  </si>
  <si>
    <t>Compromised communication channel must not directly affect Safety Domain.</t>
  </si>
  <si>
    <t>Harden parser, validate schema, apply memory-safe handling, fuzz test IoTCore endpoints, isolate process privileges.</t>
  </si>
  <si>
    <t>Fuzzing report; static analysis; negative API tests</t>
  </si>
  <si>
    <t>TARA-009</t>
  </si>
  <si>
    <t>SysCom configuration transfer</t>
  </si>
  <si>
    <t>Compromised COM sends manipulated configuration data to SCPU over SysCom.</t>
  </si>
  <si>
    <t>B, F, A</t>
  </si>
  <si>
    <t>SysCom is the internal path from COM to safety domain.</t>
  </si>
  <si>
    <t>Activation of incorrect safety configuration if SCPU does not detect manipulation.</t>
  </si>
  <si>
    <t>TB2: Safe CPU detects manipulated data from COM module.</t>
  </si>
  <si>
    <t>SCPU independently validates complete configuration integrity, sequence, source context and activation conditions.</t>
  </si>
  <si>
    <t>SCPU validation tests; SysCom fault injection</t>
  </si>
  <si>
    <t>TARA-010</t>
  </si>
  <si>
    <t>SysCom process data transfer</t>
  </si>
  <si>
    <t>Process data passed via SysCom is modified, replayed, delayed or reordered.</t>
  </si>
  <si>
    <t>C, A, F, H</t>
  </si>
  <si>
    <t>Process data must correspond to actual safety state; safety/non-safety separation is critical.</t>
  </si>
  <si>
    <t>Incorrect process image or fail-safe reaction; potential machine stop.</t>
  </si>
  <si>
    <t>SysCom carries PROFIsafe process data and heartbeat information.</t>
  </si>
  <si>
    <t>Use sequence counters, CRC/MAC where applicable, timeout monitoring, plausibility checks and safe-state fallback.</t>
  </si>
  <si>
    <t>Replay/delay tests; sequence counter tests</t>
  </si>
  <si>
    <t>TARA-011</t>
  </si>
  <si>
    <t>SysCom diagnostics transfer</t>
  </si>
  <si>
    <t>Repudiation/Tampering</t>
  </si>
  <si>
    <t>COM hides, alters or delays diagnostic information transferred to or from SCPU.</t>
  </si>
  <si>
    <t>E, H, F</t>
  </si>
  <si>
    <t>Safety monitoring relies on diagnostics and fault responses.</t>
  </si>
  <si>
    <t>Faults may be hidden from operator or incorrect status displayed.</t>
  </si>
  <si>
    <t>Diagnostic information is a TB2 data flow and affects Safety Monitoring.</t>
  </si>
  <si>
    <t>SCPU retains authoritative diagnostic state; signed/integrity-protected diagnostic records; consistency checks between local and network view.</t>
  </si>
  <si>
    <t>Diagnostic manipulation tests; event log consistency</t>
  </si>
  <si>
    <t>TARA-012</t>
  </si>
  <si>
    <t>SysCom heartbeat</t>
  </si>
  <si>
    <t>Heartbeat manipulation causes false availability, false failure detection or excessive resets.</t>
  </si>
  <si>
    <t>E, H, A</t>
  </si>
  <si>
    <t>Safety monitoring and availability depend on heartbeat correctness.</t>
  </si>
  <si>
    <t>Unexpected fail-safe transition, unavailability or inability to detect COM/SCPU issue.</t>
  </si>
  <si>
    <t>Heartbeat information is identified as TB2 flow with availability risk.</t>
  </si>
  <si>
    <t>Use timeout windows, monotonic counters, watchdog independence and defined degraded/fail-safe behavior.</t>
  </si>
  <si>
    <t>Heartbeat fault injection; watchdog tests</t>
  </si>
  <si>
    <t>TARA-013</t>
  </si>
  <si>
    <t>SysCom update trigger</t>
  </si>
  <si>
    <t>COM triggers update mode without authorization or under unsafe conditions.</t>
  </si>
  <si>
    <t>G, D, F, H</t>
  </si>
  <si>
    <t>Operating mode and safety software integrity are affected.</t>
  </si>
  <si>
    <t>Device enters update mode unexpectedly or executes update workflow at wrong lifecycle state.</t>
  </si>
  <si>
    <t>Update trigger is identified as TB2 flow.</t>
  </si>
  <si>
    <t>SCPU authorizes update mode only under defined local/secure conditions; require authenticated trigger and safe operational state.</t>
  </si>
  <si>
    <t>Mode authorization tests; update trigger negative tests</t>
  </si>
  <si>
    <t>TARA-014</t>
  </si>
  <si>
    <t>Shared Flash write firmware image</t>
  </si>
  <si>
    <t>Attacker modifies firmware image stored in Shared Flash before SCPU reads it.</t>
  </si>
  <si>
    <t>D, F, H</t>
  </si>
  <si>
    <t>Shared Flash provides safe FW container; SCPU must not trust it.</t>
  </si>
  <si>
    <t>Unauthorized or corrupted firmware could be installed if verification fails.</t>
  </si>
  <si>
    <t>TB3: Safe CPU does not trust Shared Flash but verifies firmware image itself.</t>
  </si>
  <si>
    <t>Cryptographic signature verification, hash validation, secure version policy and rejection of corrupted/update images.</t>
  </si>
  <si>
    <t>Signature validation; corrupted image tests</t>
  </si>
  <si>
    <t>TARA-015</t>
  </si>
  <si>
    <t>Shared Flash version information</t>
  </si>
  <si>
    <t>Version metadata is manipulated to force downgrade or block update.</t>
  </si>
  <si>
    <t>D, G, H</t>
  </si>
  <si>
    <t>Version information is related to safety software authenticity and operating mode.</t>
  </si>
  <si>
    <t>Downgrade to vulnerable firmware or update denial.</t>
  </si>
  <si>
    <t>Downgrade attacks listed as TB3 risk.</t>
  </si>
  <si>
    <t>Anti-rollback counters or signed version metadata; clear update failure diagnostics.</t>
  </si>
  <si>
    <t>Downgrade tests; version metadata tests</t>
  </si>
  <si>
    <t>TARA-016</t>
  </si>
  <si>
    <t>Shared Flash exhaustion/corruption</t>
  </si>
  <si>
    <t>Repeated update attempts or flash corruption exhaust storage or leaves invalid update state.</t>
  </si>
  <si>
    <t>H, D, G</t>
  </si>
  <si>
    <t>Update storage affects firmware workflow and device availability.</t>
  </si>
  <si>
    <t>Device cannot update or may remain in service/update error condition.</t>
  </si>
  <si>
    <t>Shared Flash is critical non-volatile update resource.</t>
  </si>
  <si>
    <t>Atomic update workflow, integrity checks, storage wear/error handling and recovery procedure.</t>
  </si>
  <si>
    <t>Power-loss/update interruption tests</t>
  </si>
  <si>
    <t>TARA-017</t>
  </si>
  <si>
    <t>Safe digital inputs</t>
  </si>
  <si>
    <t>Tampering/Spoofing</t>
  </si>
  <si>
    <t>Field input signals are spoofed, shorted or manipulated at terminal level.</t>
  </si>
  <si>
    <t>Input states and diagnostics must correspond to actual safety state.</t>
  </si>
  <si>
    <t>Incorrect input state reported or diagnostic fault leading to safe shutdown.</t>
  </si>
  <si>
    <t>Field side DI/DO and associated supply paths are in intended port use.</t>
  </si>
  <si>
    <t>Input diagnostics, plausibility checks, safe state on detected fault, customer documentation for wiring/physical protection.</t>
  </si>
  <si>
    <t>Input fault simulation; wiring fault tests</t>
  </si>
  <si>
    <t>TARA-018</t>
  </si>
  <si>
    <t>Safe digital outputs</t>
  </si>
  <si>
    <t>Output signal path is manipulated, externally forced or prevented from safe switch-off.</t>
  </si>
  <si>
    <t>Safe output path requires forced switch-off and maintained OFF state for dangerous internal failures.</t>
  </si>
  <si>
    <t>Actuator may not reach intended safe state or machine availability is lost.</t>
  </si>
  <si>
    <t>Covered safety behavior includes safe output path and maintained OFF state.</t>
  </si>
  <si>
    <t>Output diagnostics, read-back/plausibility checks, defined safe state, field wiring requirements in documentation.</t>
  </si>
  <si>
    <t>Output fault simulation; safe switch-off evidence</t>
  </si>
  <si>
    <t>TARA-019</t>
  </si>
  <si>
    <t>Rotary switches addressing/mode</t>
  </si>
  <si>
    <t>Local attacker changes rotary switches to alter F-address, update mode or function selection.</t>
  </si>
  <si>
    <t>B, G, H, F</t>
  </si>
  <si>
    <t>Local selection affects device functions and operating mode.</t>
  </si>
  <si>
    <t>Incorrect parameterization/addressing, unintended update mode or unavailable function.</t>
  </si>
  <si>
    <t>Rotary switch manipulation is listed as foreseeable misuse.</t>
  </si>
  <si>
    <t>Detect change, require reset/commissioning validation, compare with expected configuration, document tamper protection responsibilities.</t>
  </si>
  <si>
    <t>Product + Operator</t>
  </si>
  <si>
    <t>Switch change tests; mismatch diagnostics</t>
  </si>
  <si>
    <t>TARA-020</t>
  </si>
  <si>
    <t>JTAG/debug interfaces</t>
  </si>
  <si>
    <t>Physical attacker uses debug interface to read or modify firmware/memory.</t>
  </si>
  <si>
    <t>Debug interfaces expose CPU internals and safety/non-safety separation.</t>
  </si>
  <si>
    <t>Firmware extraction/modification, bypass of update controls, service mode abuse.</t>
  </si>
  <si>
    <t>JTAG interfaces per CPU are listed for completeness and physically protected by encapsulated design.</t>
  </si>
  <si>
    <t>Disable or lock debug access in production; protect debug credentials; rely on encapsulation and operator physical protection.</t>
  </si>
  <si>
    <t>Production debug lock evidence; penetration test</t>
  </si>
  <si>
    <t>TARA-021</t>
  </si>
  <si>
    <t>Power manipulation causes brownout, resets or field supply disruption.</t>
  </si>
  <si>
    <t>H, A, E</t>
  </si>
  <si>
    <t>Power supply is relevant for availability and safe behavior.</t>
  </si>
  <si>
    <t>Device outage or safe-state transition; possible diagnostic events.</t>
  </si>
  <si>
    <t>Power supply is treated as installation/environment responsibility for availability.</t>
  </si>
  <si>
    <t>Transfer/Mitigate</t>
  </si>
  <si>
    <t>Document supply requirements, brownout behavior and safe-state transitions; product validates power diagnostics where applicable.</t>
  </si>
  <si>
    <t>Operator + Product</t>
  </si>
  <si>
    <t>Brownout tests; installation manual requirement</t>
  </si>
  <si>
    <t>TARA-022</t>
  </si>
  <si>
    <t>Information Disclosure/Tampering</t>
  </si>
  <si>
    <t>Status indication is misleading or provides operational information to unauthorized observer.</t>
  </si>
  <si>
    <t>Local status indication supports diagnostics and monitoring.</t>
  </si>
  <si>
    <t>Operator may misinterpret device status or attacker gains limited process insight.</t>
  </si>
  <si>
    <t>LEDs are local status indication interface.</t>
  </si>
  <si>
    <t>Accept/Mitigate</t>
  </si>
  <si>
    <t>Ensure LED status cannot be source of safety truth alone; document diagnostic hierarchy and prevent software manipulation of safety-critical status.</t>
  </si>
  <si>
    <t>Status indication consistency tests</t>
  </si>
  <si>
    <t>TARA-023</t>
  </si>
  <si>
    <t>IPC SCPU1-SCPU2 cross communication</t>
  </si>
  <si>
    <t>Internal cross-communication is corrupted, delayed or inconsistent between both safe CPUs.</t>
  </si>
  <si>
    <t>1oo2 safety architecture depends on cross-communication and monitoring.</t>
  </si>
  <si>
    <t>Safety monitoring detects fault and transitions safe; availability impact if persistent.</t>
  </si>
  <si>
    <t>SCPU contains both channels, IPC and watchdog in 1oo2 architecture.</t>
  </si>
  <si>
    <t>Cross-monitoring with CRC/counters/timeouts; independent watchdog and safe-state on inconsistency.</t>
  </si>
  <si>
    <t>IPC fault injection; 1oo2 diagnostic coverage evidence</t>
  </si>
  <si>
    <t>TARA-024</t>
  </si>
  <si>
    <t>External network reachability</t>
  </si>
  <si>
    <t>Spoofing/Elevation of Privilege</t>
  </si>
  <si>
    <t>Device is connected to unsecured network or IoT interface from untrusted network.</t>
  </si>
  <si>
    <t>F, G, H, D, E</t>
  </si>
  <si>
    <t>Foreseeable misuse increases external reachability of COM and service functions.</t>
  </si>
  <si>
    <t>Remote compromise of COM/service function and attempts to influence update or diagnostics.</t>
  </si>
  <si>
    <t>Connection to unsecured networks and IoT from untrusted networks are foreseeable misuse scenarios.</t>
  </si>
  <si>
    <t>Customer documentation for network segmentation, firewalls, access control and secure remote access; product hardening for exposed services.</t>
  </si>
  <si>
    <t>Security manual; network hardening checklist</t>
  </si>
  <si>
    <t>TARA-025</t>
  </si>
  <si>
    <t>Controller/F-Host dependency</t>
  </si>
  <si>
    <t>Third-party PLC/F-Host or controller-side parameterization is compromised.</t>
  </si>
  <si>
    <t>B, C, A, H</t>
  </si>
  <si>
    <t>SRIO relies on intended configuration and safety communication from controller side.</t>
  </si>
  <si>
    <t>Incorrect configuration or commands from compromised upstream system.</t>
  </si>
  <si>
    <t>Third-party controller hardening is out of scope and handled by controller vendor/operator.</t>
  </si>
  <si>
    <t>Document system-level requirement for trusted F-Host, controller hardening and secure commissioning; product validates received safety parameters.</t>
  </si>
  <si>
    <t>Customer documentation; commissioning validation tests</t>
  </si>
  <si>
    <t>Derived Security Requirements and Evidence</t>
  </si>
  <si>
    <t>Req ID</t>
  </si>
  <si>
    <t>Related TARA IDs</t>
  </si>
  <si>
    <t>Requirement</t>
  </si>
  <si>
    <t>Rationale</t>
  </si>
  <si>
    <t>Target / owner</t>
  </si>
  <si>
    <t>Verification approach</t>
  </si>
  <si>
    <t>SRIO-CS-001</t>
  </si>
  <si>
    <t>TARA-001,009</t>
  </si>
  <si>
    <t>SCPU shall validate safety-relevant configuration before activation using integrity and consistency checks.</t>
  </si>
  <si>
    <t>Protects asset B and supports TB2 trust assumption.</t>
  </si>
  <si>
    <t>CRC/signature mismatch tests; commissioning validation</t>
  </si>
  <si>
    <t>SRIO-CS-002</t>
  </si>
  <si>
    <t>TARA-003,004</t>
  </si>
  <si>
    <t>SRIO shall handle invalid or missing PROFIsafe communication with deterministic safe-state behavior and diagnostics.</t>
  </si>
  <si>
    <t>Protects C, A and H.</t>
  </si>
  <si>
    <t>Invalid telegram and timeout tests</t>
  </si>
  <si>
    <t>SRIO-CS-003</t>
  </si>
  <si>
    <t>TARA-005,007,008</t>
  </si>
  <si>
    <t>IoTCore service endpoints shall require appropriate authentication/authorization and robust input validation.</t>
  </si>
  <si>
    <t>Protects G, E, F and H.</t>
  </si>
  <si>
    <t>Authorization tests; API fuzzing; negative tests</t>
  </si>
  <si>
    <t>SRIO-CS-004</t>
  </si>
  <si>
    <t>TARA-006,014,015,016</t>
  </si>
  <si>
    <t>Firmware update workflow shall verify authenticity, integrity and anti-rollback properties before installation.</t>
  </si>
  <si>
    <t>Protects D and G; implements TB3.</t>
  </si>
  <si>
    <t>Signature, corrupted-image and downgrade tests</t>
  </si>
  <si>
    <t>SRIO-CS-005</t>
  </si>
  <si>
    <t>TARA-010,011,012,013</t>
  </si>
  <si>
    <t>SysCom communication shall be validated by SCPU for integrity, sequence, timing and allowed mode transitions.</t>
  </si>
  <si>
    <t>Protects B, C, D, E, F, G.</t>
  </si>
  <si>
    <t>SysCom fault injection and replay/delay tests</t>
  </si>
  <si>
    <t>SRIO-CS-006</t>
  </si>
  <si>
    <t>TARA-017,018</t>
  </si>
  <si>
    <t>Field I/O diagnostics shall detect relevant wiring and signal faults and transition to defined safe state where required.</t>
  </si>
  <si>
    <t>Protects A, C, E and H.</t>
  </si>
  <si>
    <t>Safety</t>
  </si>
  <si>
    <t>Field fault simulation and diagnostics evidence</t>
  </si>
  <si>
    <t>SRIO-CS-007</t>
  </si>
  <si>
    <t>TARA-019,020</t>
  </si>
  <si>
    <t>Local physical/service interfaces shall be protected against unauthorized production use or documented as operator responsibility.</t>
  </si>
  <si>
    <t>Protects B, D, F, G and H.</t>
  </si>
  <si>
    <t>Production debug lock evidence; security manual</t>
  </si>
  <si>
    <t>SRIO-CS-008</t>
  </si>
  <si>
    <t>TARA-021,024,025</t>
  </si>
  <si>
    <t>Customer documentation shall state environmental security requirements: segmentation, access control, secure remote access, physical protection and system-level risk assessment.</t>
  </si>
  <si>
    <t>Addresses out-of-scope and operator-level dependencies.</t>
  </si>
  <si>
    <t>Security manual review; external requirement list</t>
  </si>
  <si>
    <t>SRIO-CS-009</t>
  </si>
  <si>
    <t>TARA-002,008,024</t>
  </si>
  <si>
    <t>COM domain shall be hardened so that compromised external communication cannot directly affect safety domain integrity.</t>
  </si>
  <si>
    <t>Protects F and follows TB1.</t>
  </si>
  <si>
    <t>Architecture review; penetration/fuzz tests; separation evidence</t>
  </si>
  <si>
    <t>SRIO-CS-010</t>
  </si>
  <si>
    <t>TARA-011,022</t>
  </si>
  <si>
    <t>Diagnostics and local status indication shall be consistent with authoritative SCPU diagnostic state.</t>
  </si>
  <si>
    <t>Protects E and supports operator interpretation.</t>
  </si>
  <si>
    <t>Diagnostic consistency tests</t>
  </si>
  <si>
    <t>Interface to Asset Mapping</t>
  </si>
  <si>
    <t>Interface</t>
  </si>
  <si>
    <t>Comment</t>
  </si>
  <si>
    <t>X</t>
  </si>
  <si>
    <t>Derived from interface descriptions, trust boundaries and asset/resource mapping.</t>
  </si>
  <si>
    <t>Spalte1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</si>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</sst>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666666"/>
      <name val="Aptos"/>
    </font>
    <font>
      <b/>
      <sz val="10"/>
      <color rgb="FFFFFFFF"/>
      <name val="Aptos"/>
    </font>
    <font>
      <b/>
      <sz val="11"/>
      <name val="Calibri"/>
    </font>
    <font>
      <b/>
      <sz val="11"/>
      <color rgb="FF006100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6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10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TARA scenarios by interface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Scenario 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Dashboard!$D$5:$D$18</c:f>
              <c:strCache>
                <c:ptCount val="14"/>
                <c:pt idx="0">
                  <c:v>IF-04</c:v>
                </c:pt>
                <c:pt idx="1">
                  <c:v>IF-03</c:v>
                </c:pt>
                <c:pt idx="2">
                  <c:v>IF-05</c:v>
                </c:pt>
                <c:pt idx="3">
                  <c:v>IF-01</c:v>
                </c:pt>
                <c:pt idx="4">
                  <c:v>IF-02</c:v>
                </c:pt>
                <c:pt idx="5">
                  <c:v>IF-06</c:v>
                </c:pt>
                <c:pt idx="6">
                  <c:v>IF-07</c:v>
                </c:pt>
                <c:pt idx="7">
                  <c:v>IF-08</c:v>
                </c:pt>
                <c:pt idx="8">
                  <c:v>IF-09</c:v>
                </c:pt>
                <c:pt idx="9">
                  <c:v>IF-10</c:v>
                </c:pt>
                <c:pt idx="10">
                  <c:v>IF-11</c:v>
                </c:pt>
                <c:pt idx="11">
                  <c:v>IF-12</c:v>
                </c:pt>
                <c:pt idx="12">
                  <c:v>IF-01/03</c:v>
                </c:pt>
                <c:pt idx="13">
                  <c:v>IF-01/02</c:v>
                </c:pt>
              </c:strCache>
            </c:strRef>
          </c:cat>
          <c:val>
            <c:numRef>
              <c:f>Dashboard!$E$5:$E$18</c:f>
              <c:numCache>
                <c:formatCode>General</c:formatCode>
                <c:ptCount val="1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0-4C25-AB13-D21E0080740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Interface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Scenarios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152400</xdr:rowOff>
    </xdr:from>
    <xdr:ext cx="21078825" cy="49434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adme" displayName="tblReadme" ref="A4:B10">
  <autoFilter ref="A4:B10" xr:uid="{00000000-0009-0000-0100-000001000000}"/>
  <tableColumns count="2">
    <tableColumn id="1" xr3:uid="{00000000-0010-0000-0000-000001000000}" name="Topic"/>
    <tableColumn id="2" xr3:uid="{00000000-0010-0000-0000-000002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ssumptions" displayName="tblAssumptions" ref="A3:F13">
  <autoFilter ref="A3:F13" xr:uid="{00000000-0009-0000-0100-000002000000}"/>
  <tableColumns count="6">
    <tableColumn id="1" xr3:uid="{00000000-0010-0000-0100-000001000000}" name="Category"/>
    <tableColumn id="2" xr3:uid="{00000000-0010-0000-0100-000002000000}" name="Statement"/>
    <tableColumn id="3" xr3:uid="{00000000-0010-0000-0100-000003000000}" name="Responsibility"/>
    <tableColumn id="4" xr3:uid="{00000000-0010-0000-0100-000004000000}" name="TARA relevance"/>
    <tableColumn id="5" xr3:uid="{00000000-0010-0000-0100-000005000000}" name="Source"/>
    <tableColumn id="7" xr3:uid="{C6E13FBA-CD09-4E1F-A451-D6D1C9B7634D}" name="Spalte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ssets" displayName="tblAssets" ref="A3:F11">
  <autoFilter ref="A3:F11" xr:uid="{00000000-0009-0000-0100-000003000000}"/>
  <tableColumns count="6">
    <tableColumn id="1" xr3:uid="{00000000-0010-0000-0200-000001000000}" name="Asset ID"/>
    <tableColumn id="2" xr3:uid="{00000000-0010-0000-0200-000002000000}" name="Asset"/>
    <tableColumn id="3" xr3:uid="{00000000-0010-0000-0200-000003000000}" name="Description"/>
    <tableColumn id="4" xr3:uid="{00000000-0010-0000-0200-000004000000}" name="Primary protection objectives"/>
    <tableColumn id="5" xr3:uid="{00000000-0010-0000-0200-000005000000}" name="Typical affected resources"/>
    <tableColumn id="6" xr3:uid="{00000000-0010-0000-0200-000006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terfaces" displayName="tblInterfaces" ref="A3:J15">
  <autoFilter ref="A3:J15" xr:uid="{00000000-0009-0000-0100-000004000000}"/>
  <tableColumns count="10">
    <tableColumn id="1" xr3:uid="{00000000-0010-0000-0300-000001000000}" name="Interface ID"/>
    <tableColumn id="2" xr3:uid="{00000000-0010-0000-0300-000002000000}" name="Interface / Boundary"/>
    <tableColumn id="3" xr3:uid="{00000000-0010-0000-0300-000003000000}" name="Type"/>
    <tableColumn id="4" xr3:uid="{00000000-0010-0000-0300-000004000000}" name="Direction"/>
    <tableColumn id="5" xr3:uid="{00000000-0010-0000-0300-000005000000}" name="Protocol / Medium"/>
    <tableColumn id="6" xr3:uid="{00000000-0010-0000-0300-000006000000}" name="Relevant data flows"/>
    <tableColumn id="7" xr3:uid="{00000000-0010-0000-0300-000007000000}" name="Trust boundary"/>
    <tableColumn id="8" xr3:uid="{00000000-0010-0000-0300-000008000000}" name="Affected assets"/>
    <tableColumn id="9" xr3:uid="{00000000-0010-0000-0300-000009000000}" name="Main resources"/>
    <tableColumn id="10" xr3:uid="{00000000-0010-0000-0300-00000A000000}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ARA" displayName="tblTARA" ref="A3:W28">
  <autoFilter ref="A3:W28" xr:uid="{00000000-0009-0000-0100-000005000000}"/>
  <tableColumns count="23">
    <tableColumn id="1" xr3:uid="{00000000-0010-0000-0400-000001000000}" name="TARA ID"/>
    <tableColumn id="2" xr3:uid="{00000000-0010-0000-0400-000002000000}" name="Interface ID"/>
    <tableColumn id="3" xr3:uid="{00000000-0010-0000-0400-000003000000}" name="Interface / Data Flow"/>
    <tableColumn id="4" xr3:uid="{00000000-0010-0000-0400-000004000000}" name="Threat Category"/>
    <tableColumn id="5" xr3:uid="{00000000-0010-0000-0400-000005000000}" name="Threat scenario"/>
    <tableColumn id="6" xr3:uid="{00000000-0010-0000-0400-000006000000}" name="Affected Asset IDs"/>
    <tableColumn id="7" xr3:uid="{00000000-0010-0000-0400-000007000000}" name="Affected asset rationale"/>
    <tableColumn id="8" xr3:uid="{00000000-0010-0000-0400-000008000000}" name="Damage / impact description"/>
    <tableColumn id="9" xr3:uid="{00000000-0010-0000-0400-000009000000}" name="Existing controls or assumptions from source"/>
    <tableColumn id="10" xr3:uid="{00000000-0010-0000-0400-00000A000000}" name="Likelihood (1-5)"/>
    <tableColumn id="11" xr3:uid="{00000000-0010-0000-0400-00000B000000}" name="Impact (1-5)"/>
    <tableColumn id="12" xr3:uid="{00000000-0010-0000-0400-00000C000000}" name="Initial Risk"/>
    <tableColumn id="13" xr3:uid="{00000000-0010-0000-0400-00000D000000}" name="Initial Level"/>
    <tableColumn id="14" xr3:uid="{00000000-0010-0000-0400-00000E000000}" name="Treatment decision"/>
    <tableColumn id="15" xr3:uid="{00000000-0010-0000-0400-00000F000000}" name="Recommended security requirement / mitigation"/>
    <tableColumn id="16" xr3:uid="{00000000-0010-0000-0400-000010000000}" name="Residual Likelihood"/>
    <tableColumn id="17" xr3:uid="{00000000-0010-0000-0400-000011000000}" name="Residual Impact"/>
    <tableColumn id="18" xr3:uid="{00000000-0010-0000-0400-000012000000}" name="Residual Risk"/>
    <tableColumn id="19" xr3:uid="{00000000-0010-0000-0400-000013000000}" name="Residual Level"/>
    <tableColumn id="20" xr3:uid="{00000000-0010-0000-0400-000014000000}" name="Owner"/>
    <tableColumn id="21" xr3:uid="{00000000-0010-0000-0400-000015000000}" name="Status"/>
    <tableColumn id="22" xr3:uid="{00000000-0010-0000-0400-000016000000}" name="Verification / evidence"/>
    <tableColumn id="23" xr3:uid="{00000000-0010-0000-0400-000017000000}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equirements" displayName="tblRequirements" ref="A3:H13">
  <autoFilter ref="A3:H13" xr:uid="{00000000-0009-0000-0100-000006000000}"/>
  <tableColumns count="8">
    <tableColumn id="1" xr3:uid="{00000000-0010-0000-0500-000001000000}" name="Req ID"/>
    <tableColumn id="2" xr3:uid="{00000000-0010-0000-0500-000002000000}" name="Related TARA IDs"/>
    <tableColumn id="3" xr3:uid="{00000000-0010-0000-0500-000003000000}" name="Requirement"/>
    <tableColumn id="4" xr3:uid="{00000000-0010-0000-0500-000004000000}" name="Rationale"/>
    <tableColumn id="5" xr3:uid="{00000000-0010-0000-0500-000005000000}" name="Target / owner"/>
    <tableColumn id="6" xr3:uid="{00000000-0010-0000-0500-000006000000}" name="Verification approach"/>
    <tableColumn id="7" xr3:uid="{00000000-0010-0000-0500-000007000000}" name="Status"/>
    <tableColumn id="8" xr3:uid="{00000000-0010-0000-0500-000008000000}" name="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IAMatrix" displayName="tblIAMatrix" ref="A3:L15">
  <autoFilter ref="A3:L15" xr:uid="{00000000-0009-0000-0100-000007000000}"/>
  <tableColumns count="12">
    <tableColumn id="1" xr3:uid="{00000000-0010-0000-0600-000001000000}" name="Interface ID"/>
    <tableColumn id="2" xr3:uid="{00000000-0010-0000-0600-000002000000}" name="Interface"/>
    <tableColumn id="3" xr3:uid="{00000000-0010-0000-0600-000003000000}" name="A"/>
    <tableColumn id="4" xr3:uid="{00000000-0010-0000-0600-000004000000}" name="B"/>
    <tableColumn id="5" xr3:uid="{00000000-0010-0000-0600-000005000000}" name="C"/>
    <tableColumn id="6" xr3:uid="{00000000-0010-0000-0600-000006000000}" name="D"/>
    <tableColumn id="7" xr3:uid="{00000000-0010-0000-0600-000007000000}" name="E"/>
    <tableColumn id="8" xr3:uid="{00000000-0010-0000-0600-000008000000}" name="F"/>
    <tableColumn id="9" xr3:uid="{00000000-0010-0000-0600-000009000000}" name="G"/>
    <tableColumn id="10" xr3:uid="{00000000-0010-0000-0600-00000A000000}" name="H"/>
    <tableColumn id="11" xr3:uid="{00000000-0010-0000-0600-00000B000000}" name="Comment"/>
    <tableColumn id="12" xr3:uid="{00000000-0010-0000-0600-00000C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pane ySplit="3" topLeftCell="A4" activePane="bottomLeft" state="frozen"/>
      <selection pane="bottomLeft" activeCell="B10" sqref="B10"/>
    </sheetView>
  </sheetViews>
  <sheetFormatPr baseColWidth="10" defaultColWidth="9.140625" defaultRowHeight="15" x14ac:dyDescent="0.25"/>
  <cols>
    <col min="1" max="1" width="24" customWidth="1"/>
    <col min="2" max="2" width="120" customWidth="1"/>
  </cols>
  <sheetData>
    <row r="1" spans="1:2" ht="27.95" customHeight="1" x14ac:dyDescent="0.25">
      <c r="A1" s="15" t="s">
        <v>0</v>
      </c>
      <c r="B1" s="16"/>
    </row>
    <row r="2" spans="1:2" ht="81" x14ac:dyDescent="0.25">
      <c r="A2" s="2" t="s">
        <v>1</v>
      </c>
      <c r="B2" s="1"/>
    </row>
    <row r="3" spans="1:2" x14ac:dyDescent="0.25">
      <c r="A3" s="1"/>
      <c r="B3" s="1"/>
    </row>
    <row r="4" spans="1:2" x14ac:dyDescent="0.25">
      <c r="A4" s="3" t="s">
        <v>2</v>
      </c>
      <c r="B4" s="3" t="s">
        <v>3</v>
      </c>
    </row>
    <row r="5" spans="1:2" x14ac:dyDescent="0.25">
      <c r="A5" s="1" t="s">
        <v>4</v>
      </c>
      <c r="B5" s="1" t="s">
        <v>5</v>
      </c>
    </row>
    <row r="6" spans="1:2" x14ac:dyDescent="0.25">
      <c r="A6" s="1" t="s">
        <v>6</v>
      </c>
      <c r="B6" s="1" t="s">
        <v>7</v>
      </c>
    </row>
    <row r="7" spans="1:2" x14ac:dyDescent="0.25">
      <c r="A7" s="1" t="s">
        <v>8</v>
      </c>
      <c r="B7" s="1" t="s">
        <v>9</v>
      </c>
    </row>
    <row r="8" spans="1:2" ht="30" x14ac:dyDescent="0.25">
      <c r="A8" s="1" t="s">
        <v>10</v>
      </c>
      <c r="B8" s="1" t="s">
        <v>11</v>
      </c>
    </row>
    <row r="9" spans="1:2" x14ac:dyDescent="0.25">
      <c r="A9" s="1" t="s">
        <v>12</v>
      </c>
      <c r="B9" s="1" t="s">
        <v>13</v>
      </c>
    </row>
    <row r="10" spans="1:2" ht="30" x14ac:dyDescent="0.25">
      <c r="A10" s="1" t="s">
        <v>14</v>
      </c>
      <c r="B10" s="1" t="s">
        <v>15</v>
      </c>
    </row>
  </sheetData>
  <mergeCells count="1">
    <mergeCell ref="A1:B1"/>
  </mergeCells>
  <pageMargins left="0.75" right="0.75" top="1" bottom="1" header="0.5" footer="0.5"/>
  <headerFooter>
    <oddFooter>&amp;C_x000D_&amp;1#&amp;"Aptos"&amp;10&amp;K000000 INTERNAL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workbookViewId="0">
      <pane ySplit="3" topLeftCell="A4" activePane="bottomLeft" state="frozen"/>
      <selection pane="bottomLeft" activeCell="D26" sqref="D26"/>
    </sheetView>
  </sheetViews>
  <sheetFormatPr baseColWidth="10" defaultColWidth="9.140625" defaultRowHeight="15" x14ac:dyDescent="0.25"/>
  <cols>
    <col min="1" max="1" width="22" customWidth="1"/>
    <col min="2" max="2" width="35" customWidth="1"/>
    <col min="3" max="3" width="10" customWidth="1"/>
    <col min="4" max="4" width="34" customWidth="1"/>
    <col min="5" max="5" width="16" customWidth="1"/>
  </cols>
  <sheetData>
    <row r="1" spans="1:5" ht="27.95" customHeight="1" x14ac:dyDescent="0.25">
      <c r="A1" s="15" t="s">
        <v>16</v>
      </c>
      <c r="B1" s="16"/>
      <c r="C1" s="16"/>
      <c r="D1" s="16"/>
      <c r="E1" s="16"/>
    </row>
    <row r="2" spans="1:5" x14ac:dyDescent="0.25">
      <c r="A2" s="1"/>
      <c r="B2" s="1"/>
      <c r="C2" s="1"/>
      <c r="D2" s="1"/>
      <c r="E2" s="1"/>
    </row>
    <row r="3" spans="1:5" x14ac:dyDescent="0.25">
      <c r="A3" s="3" t="s">
        <v>17</v>
      </c>
      <c r="B3" s="3" t="s">
        <v>18</v>
      </c>
      <c r="C3" s="1"/>
      <c r="D3" s="4" t="s">
        <v>19</v>
      </c>
      <c r="E3" s="1"/>
    </row>
    <row r="4" spans="1:5" x14ac:dyDescent="0.25">
      <c r="A4" s="3" t="s">
        <v>20</v>
      </c>
      <c r="B4" s="3">
        <f>COUNTA(TARA!A4:A200)</f>
        <v>25</v>
      </c>
      <c r="C4" s="1"/>
      <c r="D4" s="3" t="s">
        <v>21</v>
      </c>
      <c r="E4" s="3" t="s">
        <v>22</v>
      </c>
    </row>
    <row r="5" spans="1:5" x14ac:dyDescent="0.25">
      <c r="A5" s="5" t="s">
        <v>23</v>
      </c>
      <c r="B5" s="6">
        <f>COUNTIF(TARA!M4:M200,"Critical")</f>
        <v>2</v>
      </c>
      <c r="C5" s="1"/>
      <c r="D5" s="1" t="s">
        <v>24</v>
      </c>
      <c r="E5" s="1">
        <v>5</v>
      </c>
    </row>
    <row r="6" spans="1:5" x14ac:dyDescent="0.25">
      <c r="A6" s="5" t="s">
        <v>25</v>
      </c>
      <c r="B6" s="6">
        <f>COUNTIF(TARA!M4:M200,"High")</f>
        <v>21</v>
      </c>
      <c r="C6" s="1"/>
      <c r="D6" s="1" t="s">
        <v>26</v>
      </c>
      <c r="E6" s="1">
        <v>4</v>
      </c>
    </row>
    <row r="7" spans="1:5" x14ac:dyDescent="0.25">
      <c r="A7" s="5" t="s">
        <v>27</v>
      </c>
      <c r="B7" s="6">
        <f>COUNTIF(TARA!S4:S200,"Critical")</f>
        <v>0</v>
      </c>
      <c r="C7" s="1"/>
      <c r="D7" s="1" t="s">
        <v>28</v>
      </c>
      <c r="E7" s="1">
        <v>3</v>
      </c>
    </row>
    <row r="8" spans="1:5" x14ac:dyDescent="0.25">
      <c r="A8" s="5" t="s">
        <v>29</v>
      </c>
      <c r="B8" s="6">
        <f>COUNTIF(TARA!S4:S200,"High")</f>
        <v>0</v>
      </c>
      <c r="C8" s="1"/>
      <c r="D8" s="1" t="s">
        <v>30</v>
      </c>
      <c r="E8" s="1">
        <v>2</v>
      </c>
    </row>
    <row r="9" spans="1:5" x14ac:dyDescent="0.25">
      <c r="A9" s="5" t="s">
        <v>31</v>
      </c>
      <c r="B9" s="6">
        <f>COUNTIF(TARA!U4:U200,"Open")</f>
        <v>25</v>
      </c>
      <c r="C9" s="1"/>
      <c r="D9" s="1" t="s">
        <v>32</v>
      </c>
      <c r="E9" s="1">
        <v>2</v>
      </c>
    </row>
    <row r="10" spans="1:5" x14ac:dyDescent="0.25">
      <c r="A10" s="5" t="s">
        <v>33</v>
      </c>
      <c r="B10" s="6">
        <f>COUNTIF(TARA!U4:U200,"Review")</f>
        <v>0</v>
      </c>
      <c r="C10" s="1"/>
      <c r="D10" s="1" t="s">
        <v>34</v>
      </c>
      <c r="E10" s="1">
        <v>1</v>
      </c>
    </row>
    <row r="11" spans="1:5" x14ac:dyDescent="0.25">
      <c r="A11" s="1"/>
      <c r="B11" s="1"/>
      <c r="C11" s="1"/>
      <c r="D11" s="1" t="s">
        <v>35</v>
      </c>
      <c r="E11" s="1">
        <v>1</v>
      </c>
    </row>
    <row r="12" spans="1:5" x14ac:dyDescent="0.25">
      <c r="A12" s="1"/>
      <c r="B12" s="1"/>
      <c r="C12" s="1"/>
      <c r="D12" s="1" t="s">
        <v>36</v>
      </c>
      <c r="E12" s="1">
        <v>1</v>
      </c>
    </row>
    <row r="13" spans="1:5" x14ac:dyDescent="0.25">
      <c r="A13" s="1"/>
      <c r="B13" s="1"/>
      <c r="C13" s="1"/>
      <c r="D13" s="1" t="s">
        <v>37</v>
      </c>
      <c r="E13" s="1">
        <v>1</v>
      </c>
    </row>
    <row r="14" spans="1:5" x14ac:dyDescent="0.25">
      <c r="A14" s="1"/>
      <c r="B14" s="1"/>
      <c r="C14" s="1"/>
      <c r="D14" s="1" t="s">
        <v>38</v>
      </c>
      <c r="E14" s="1">
        <v>1</v>
      </c>
    </row>
    <row r="15" spans="1:5" x14ac:dyDescent="0.25">
      <c r="A15" s="1"/>
      <c r="B15" s="1"/>
      <c r="C15" s="1"/>
      <c r="D15" s="1" t="s">
        <v>39</v>
      </c>
      <c r="E15" s="1">
        <v>1</v>
      </c>
    </row>
    <row r="16" spans="1:5" x14ac:dyDescent="0.25">
      <c r="A16" s="1"/>
      <c r="B16" s="1"/>
      <c r="C16" s="1"/>
      <c r="D16" s="1" t="s">
        <v>40</v>
      </c>
      <c r="E16" s="1">
        <v>1</v>
      </c>
    </row>
    <row r="17" spans="1:5" x14ac:dyDescent="0.25">
      <c r="A17" s="1"/>
      <c r="B17" s="1"/>
      <c r="C17" s="1"/>
      <c r="D17" s="1" t="s">
        <v>41</v>
      </c>
      <c r="E17" s="1">
        <v>1</v>
      </c>
    </row>
    <row r="18" spans="1:5" x14ac:dyDescent="0.25">
      <c r="A18" s="1"/>
      <c r="B18" s="1"/>
      <c r="C18" s="1"/>
      <c r="D18" s="1" t="s">
        <v>42</v>
      </c>
      <c r="E18" s="1">
        <v>1</v>
      </c>
    </row>
  </sheetData>
  <mergeCells count="1">
    <mergeCell ref="A1:E1"/>
  </mergeCells>
  <pageMargins left="0.75" right="0.75" top="1" bottom="1" header="0.5" footer="0.5"/>
  <headerFooter>
    <oddFooter>&amp;C_x000D_&amp;1#&amp;"Aptos"&amp;10&amp;K000000 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tabSelected="1" workbookViewId="0">
      <pane ySplit="3" topLeftCell="A4" activePane="bottomLeft" state="frozen"/>
      <selection pane="bottomLeft" activeCell="F13" sqref="F13"/>
    </sheetView>
  </sheetViews>
  <sheetFormatPr baseColWidth="10" defaultColWidth="9.140625" defaultRowHeight="15" x14ac:dyDescent="0.25"/>
  <cols>
    <col min="1" max="1" width="39" customWidth="1"/>
    <col min="2" max="2" width="60" customWidth="1"/>
    <col min="3" max="3" width="21" customWidth="1"/>
    <col min="4" max="4" width="60" customWidth="1"/>
    <col min="5" max="5" width="28" customWidth="1"/>
  </cols>
  <sheetData>
    <row r="1" spans="1:6" ht="27.95" customHeight="1" x14ac:dyDescent="0.25">
      <c r="A1" s="15" t="s">
        <v>43</v>
      </c>
      <c r="B1" s="16"/>
      <c r="C1" s="16"/>
      <c r="D1" s="16"/>
      <c r="E1" s="16"/>
    </row>
    <row r="2" spans="1:6" x14ac:dyDescent="0.25">
      <c r="A2" s="1"/>
      <c r="B2" s="1"/>
      <c r="C2" s="1"/>
      <c r="D2" s="1"/>
      <c r="E2" s="1"/>
    </row>
    <row r="3" spans="1:6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12</v>
      </c>
      <c r="F3" t="s">
        <v>541</v>
      </c>
    </row>
    <row r="4" spans="1:6" ht="45" x14ac:dyDescent="0.2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</row>
    <row r="5" spans="1:6" ht="30" x14ac:dyDescent="0.25">
      <c r="A5" s="1" t="s">
        <v>53</v>
      </c>
      <c r="B5" s="1" t="s">
        <v>54</v>
      </c>
      <c r="C5" s="1" t="s">
        <v>50</v>
      </c>
      <c r="D5" s="1" t="s">
        <v>55</v>
      </c>
      <c r="E5" s="1" t="s">
        <v>52</v>
      </c>
      <c r="F5" t="s">
        <v>542</v>
      </c>
    </row>
    <row r="6" spans="1:6" ht="30" x14ac:dyDescent="0.25">
      <c r="A6" s="1" t="s">
        <v>56</v>
      </c>
      <c r="B6" s="1" t="s">
        <v>57</v>
      </c>
      <c r="C6" s="1" t="s">
        <v>50</v>
      </c>
      <c r="D6" s="1" t="s">
        <v>58</v>
      </c>
      <c r="E6" s="1" t="s">
        <v>52</v>
      </c>
      <c r="F6" t="s">
        <v>542</v>
      </c>
    </row>
    <row r="7" spans="1:6" ht="45" x14ac:dyDescent="0.25">
      <c r="A7" s="1" t="s">
        <v>59</v>
      </c>
      <c r="B7" s="1" t="s">
        <v>60</v>
      </c>
      <c r="C7" s="1" t="s">
        <v>61</v>
      </c>
      <c r="D7" s="1" t="s">
        <v>62</v>
      </c>
      <c r="E7" s="1" t="s">
        <v>52</v>
      </c>
      <c r="F7" t="s">
        <v>542</v>
      </c>
    </row>
    <row r="8" spans="1:6" ht="30" x14ac:dyDescent="0.25">
      <c r="A8" s="1" t="s">
        <v>63</v>
      </c>
      <c r="B8" s="1" t="s">
        <v>64</v>
      </c>
      <c r="C8" s="1" t="s">
        <v>61</v>
      </c>
      <c r="D8" s="1" t="s">
        <v>65</v>
      </c>
      <c r="E8" s="1" t="s">
        <v>52</v>
      </c>
      <c r="F8" t="s">
        <v>542</v>
      </c>
    </row>
    <row r="9" spans="1:6" ht="30" x14ac:dyDescent="0.25">
      <c r="A9" s="1" t="s">
        <v>66</v>
      </c>
      <c r="B9" s="1" t="s">
        <v>67</v>
      </c>
      <c r="C9" s="1" t="s">
        <v>61</v>
      </c>
      <c r="D9" s="1" t="s">
        <v>68</v>
      </c>
      <c r="E9" s="1" t="s">
        <v>52</v>
      </c>
      <c r="F9" t="s">
        <v>542</v>
      </c>
    </row>
    <row r="10" spans="1:6" ht="30" x14ac:dyDescent="0.25">
      <c r="A10" s="1" t="s">
        <v>69</v>
      </c>
      <c r="B10" s="1" t="s">
        <v>70</v>
      </c>
      <c r="C10" s="1" t="s">
        <v>61</v>
      </c>
      <c r="D10" s="1" t="s">
        <v>71</v>
      </c>
      <c r="E10" s="1" t="s">
        <v>52</v>
      </c>
      <c r="F10" t="s">
        <v>542</v>
      </c>
    </row>
    <row r="11" spans="1:6" ht="30" x14ac:dyDescent="0.25">
      <c r="A11" s="1" t="s">
        <v>72</v>
      </c>
      <c r="B11" s="1" t="s">
        <v>73</v>
      </c>
      <c r="C11" s="1" t="s">
        <v>50</v>
      </c>
      <c r="D11" s="1" t="s">
        <v>74</v>
      </c>
      <c r="E11" s="1" t="s">
        <v>52</v>
      </c>
      <c r="F11" t="s">
        <v>542</v>
      </c>
    </row>
    <row r="12" spans="1:6" x14ac:dyDescent="0.25">
      <c r="A12" s="1" t="s">
        <v>75</v>
      </c>
      <c r="B12" s="1" t="s">
        <v>76</v>
      </c>
      <c r="C12" s="1" t="s">
        <v>50</v>
      </c>
      <c r="D12" s="1" t="s">
        <v>77</v>
      </c>
      <c r="E12" s="1" t="s">
        <v>52</v>
      </c>
    </row>
    <row r="13" spans="1:6" ht="30" x14ac:dyDescent="0.25">
      <c r="A13" s="1" t="s">
        <v>78</v>
      </c>
      <c r="B13" s="1" t="s">
        <v>79</v>
      </c>
      <c r="C13" s="1" t="s">
        <v>50</v>
      </c>
      <c r="D13" s="1" t="s">
        <v>80</v>
      </c>
      <c r="E13" s="1" t="s">
        <v>52</v>
      </c>
    </row>
  </sheetData>
  <mergeCells count="1">
    <mergeCell ref="A1:E1"/>
  </mergeCells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pane ySplit="3" topLeftCell="A4" activePane="bottomLeft" state="frozen"/>
      <selection pane="bottomLeft" activeCell="E10" sqref="E10"/>
    </sheetView>
  </sheetViews>
  <sheetFormatPr baseColWidth="10" defaultColWidth="9.140625" defaultRowHeight="15" x14ac:dyDescent="0.25"/>
  <cols>
    <col min="1" max="1" width="39" customWidth="1"/>
    <col min="2" max="3" width="60" customWidth="1"/>
    <col min="4" max="4" width="39" customWidth="1"/>
    <col min="5" max="5" width="60" customWidth="1"/>
    <col min="6" max="6" width="28" customWidth="1"/>
  </cols>
  <sheetData>
    <row r="1" spans="1:6" ht="27.95" customHeight="1" x14ac:dyDescent="0.25">
      <c r="A1" s="15" t="s">
        <v>81</v>
      </c>
      <c r="B1" s="16"/>
      <c r="C1" s="16"/>
      <c r="D1" s="16"/>
      <c r="E1" s="16"/>
      <c r="F1" s="16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3" t="s">
        <v>82</v>
      </c>
      <c r="B3" s="3" t="s">
        <v>83</v>
      </c>
      <c r="C3" s="3" t="s">
        <v>3</v>
      </c>
      <c r="D3" s="3" t="s">
        <v>84</v>
      </c>
      <c r="E3" s="3" t="s">
        <v>85</v>
      </c>
      <c r="F3" s="3" t="s">
        <v>12</v>
      </c>
    </row>
    <row r="4" spans="1:6" x14ac:dyDescent="0.25">
      <c r="A4" s="1" t="s">
        <v>86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52</v>
      </c>
    </row>
    <row r="5" spans="1:6" x14ac:dyDescent="0.25">
      <c r="A5" s="1" t="s">
        <v>91</v>
      </c>
      <c r="B5" s="1" t="s">
        <v>92</v>
      </c>
      <c r="C5" s="1" t="s">
        <v>93</v>
      </c>
      <c r="D5" s="1" t="s">
        <v>94</v>
      </c>
      <c r="E5" s="1" t="s">
        <v>95</v>
      </c>
      <c r="F5" s="1" t="s">
        <v>52</v>
      </c>
    </row>
    <row r="6" spans="1:6" ht="30" x14ac:dyDescent="0.25">
      <c r="A6" s="1" t="s">
        <v>96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52</v>
      </c>
    </row>
    <row r="7" spans="1:6" x14ac:dyDescent="0.25">
      <c r="A7" s="1" t="s">
        <v>101</v>
      </c>
      <c r="B7" s="1" t="s">
        <v>102</v>
      </c>
      <c r="C7" s="1" t="s">
        <v>103</v>
      </c>
      <c r="D7" s="1" t="s">
        <v>104</v>
      </c>
      <c r="E7" s="1" t="s">
        <v>105</v>
      </c>
      <c r="F7" s="1" t="s">
        <v>52</v>
      </c>
    </row>
    <row r="8" spans="1:6" ht="30" x14ac:dyDescent="0.25">
      <c r="A8" s="1" t="s">
        <v>106</v>
      </c>
      <c r="B8" s="1" t="s">
        <v>107</v>
      </c>
      <c r="C8" s="1" t="s">
        <v>108</v>
      </c>
      <c r="D8" s="1" t="s">
        <v>89</v>
      </c>
      <c r="E8" s="1" t="s">
        <v>109</v>
      </c>
      <c r="F8" s="1" t="s">
        <v>52</v>
      </c>
    </row>
    <row r="9" spans="1:6" ht="30" x14ac:dyDescent="0.25">
      <c r="A9" s="1" t="s">
        <v>110</v>
      </c>
      <c r="B9" s="1" t="s">
        <v>111</v>
      </c>
      <c r="C9" s="1" t="s">
        <v>112</v>
      </c>
      <c r="D9" s="1" t="s">
        <v>113</v>
      </c>
      <c r="E9" s="1" t="s">
        <v>114</v>
      </c>
      <c r="F9" s="1" t="s">
        <v>52</v>
      </c>
    </row>
    <row r="10" spans="1:6" ht="30" x14ac:dyDescent="0.25">
      <c r="A10" s="1" t="s">
        <v>115</v>
      </c>
      <c r="B10" s="1" t="s">
        <v>116</v>
      </c>
      <c r="C10" s="1" t="s">
        <v>117</v>
      </c>
      <c r="D10" s="1" t="s">
        <v>99</v>
      </c>
      <c r="E10" s="1" t="s">
        <v>118</v>
      </c>
      <c r="F10" s="1" t="s">
        <v>52</v>
      </c>
    </row>
    <row r="11" spans="1:6" x14ac:dyDescent="0.25">
      <c r="A11" s="1" t="s">
        <v>119</v>
      </c>
      <c r="B11" s="1" t="s">
        <v>120</v>
      </c>
      <c r="C11" s="1" t="s">
        <v>121</v>
      </c>
      <c r="D11" s="1" t="s">
        <v>122</v>
      </c>
      <c r="E11" s="1" t="s">
        <v>123</v>
      </c>
      <c r="F11" s="1" t="s">
        <v>52</v>
      </c>
    </row>
  </sheetData>
  <mergeCells count="1">
    <mergeCell ref="A1:F1"/>
  </mergeCells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showGridLines="0" workbookViewId="0">
      <pane ySplit="3" topLeftCell="A4" activePane="bottomLeft" state="frozen"/>
      <selection pane="bottomLeft" activeCell="F8" sqref="F8"/>
    </sheetView>
  </sheetViews>
  <sheetFormatPr baseColWidth="10" defaultColWidth="9.140625" defaultRowHeight="15" x14ac:dyDescent="0.25"/>
  <cols>
    <col min="1" max="1" width="32" customWidth="1"/>
    <col min="2" max="2" width="28" customWidth="1"/>
    <col min="3" max="3" width="33" customWidth="1"/>
    <col min="4" max="4" width="21" customWidth="1"/>
    <col min="5" max="5" width="39" customWidth="1"/>
    <col min="6" max="6" width="60" customWidth="1"/>
    <col min="7" max="7" width="46" customWidth="1"/>
    <col min="8" max="8" width="24" customWidth="1"/>
    <col min="9" max="9" width="38" customWidth="1"/>
    <col min="10" max="10" width="28" customWidth="1"/>
  </cols>
  <sheetData>
    <row r="1" spans="1:10" ht="27.95" customHeight="1" x14ac:dyDescent="0.25">
      <c r="A1" s="15" t="s">
        <v>124</v>
      </c>
      <c r="B1" s="16"/>
      <c r="C1" s="16"/>
      <c r="D1" s="16"/>
      <c r="E1" s="16"/>
      <c r="F1" s="16"/>
      <c r="G1" s="16"/>
      <c r="H1" s="16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3" t="s">
        <v>21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  <c r="I3" s="3" t="s">
        <v>132</v>
      </c>
      <c r="J3" s="3" t="s">
        <v>12</v>
      </c>
    </row>
    <row r="4" spans="1:10" ht="30" x14ac:dyDescent="0.25">
      <c r="A4" s="1" t="s">
        <v>30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139</v>
      </c>
      <c r="I4" s="1" t="s">
        <v>140</v>
      </c>
      <c r="J4" s="1" t="s">
        <v>52</v>
      </c>
    </row>
    <row r="5" spans="1:10" x14ac:dyDescent="0.25">
      <c r="A5" s="1" t="s">
        <v>32</v>
      </c>
      <c r="B5" s="1" t="s">
        <v>141</v>
      </c>
      <c r="C5" s="1" t="s">
        <v>142</v>
      </c>
      <c r="D5" s="1" t="s">
        <v>135</v>
      </c>
      <c r="E5" s="1" t="s">
        <v>143</v>
      </c>
      <c r="F5" s="1" t="s">
        <v>144</v>
      </c>
      <c r="G5" s="1" t="s">
        <v>145</v>
      </c>
      <c r="H5" s="1" t="s">
        <v>146</v>
      </c>
      <c r="I5" s="1" t="s">
        <v>147</v>
      </c>
      <c r="J5" s="1" t="s">
        <v>52</v>
      </c>
    </row>
    <row r="6" spans="1:10" ht="30" x14ac:dyDescent="0.25">
      <c r="A6" s="1" t="s">
        <v>26</v>
      </c>
      <c r="B6" s="1" t="s">
        <v>148</v>
      </c>
      <c r="C6" s="1" t="s">
        <v>134</v>
      </c>
      <c r="D6" s="1" t="s">
        <v>135</v>
      </c>
      <c r="E6" s="1" t="s">
        <v>149</v>
      </c>
      <c r="F6" s="1" t="s">
        <v>150</v>
      </c>
      <c r="G6" s="1" t="s">
        <v>138</v>
      </c>
      <c r="H6" s="1" t="s">
        <v>151</v>
      </c>
      <c r="I6" s="1" t="s">
        <v>152</v>
      </c>
      <c r="J6" s="1" t="s">
        <v>52</v>
      </c>
    </row>
    <row r="7" spans="1:10" ht="30" x14ac:dyDescent="0.25">
      <c r="A7" s="1" t="s">
        <v>24</v>
      </c>
      <c r="B7" s="1" t="s">
        <v>153</v>
      </c>
      <c r="C7" s="1" t="s">
        <v>154</v>
      </c>
      <c r="D7" s="1" t="s">
        <v>135</v>
      </c>
      <c r="E7" s="1" t="s">
        <v>155</v>
      </c>
      <c r="F7" s="1" t="s">
        <v>156</v>
      </c>
      <c r="G7" s="1" t="s">
        <v>157</v>
      </c>
      <c r="H7" s="1" t="s">
        <v>158</v>
      </c>
      <c r="I7" s="1" t="s">
        <v>159</v>
      </c>
      <c r="J7" s="1" t="s">
        <v>52</v>
      </c>
    </row>
    <row r="8" spans="1:10" x14ac:dyDescent="0.25">
      <c r="A8" s="1" t="s">
        <v>28</v>
      </c>
      <c r="B8" s="1" t="s">
        <v>160</v>
      </c>
      <c r="C8" s="1" t="s">
        <v>154</v>
      </c>
      <c r="D8" s="1" t="s">
        <v>135</v>
      </c>
      <c r="E8" s="1" t="s">
        <v>161</v>
      </c>
      <c r="F8" s="1" t="s">
        <v>162</v>
      </c>
      <c r="G8" s="1" t="s">
        <v>163</v>
      </c>
      <c r="H8" s="1" t="s">
        <v>164</v>
      </c>
      <c r="I8" s="1" t="s">
        <v>165</v>
      </c>
      <c r="J8" s="1" t="s">
        <v>52</v>
      </c>
    </row>
    <row r="9" spans="1:10" x14ac:dyDescent="0.25">
      <c r="A9" s="1" t="s">
        <v>34</v>
      </c>
      <c r="B9" s="1" t="s">
        <v>166</v>
      </c>
      <c r="C9" s="1" t="s">
        <v>167</v>
      </c>
      <c r="D9" s="1" t="s">
        <v>168</v>
      </c>
      <c r="E9" s="1" t="s">
        <v>169</v>
      </c>
      <c r="F9" s="1" t="s">
        <v>170</v>
      </c>
      <c r="G9" s="1" t="s">
        <v>171</v>
      </c>
      <c r="H9" s="1" t="s">
        <v>172</v>
      </c>
      <c r="I9" s="1" t="s">
        <v>173</v>
      </c>
      <c r="J9" s="1" t="s">
        <v>52</v>
      </c>
    </row>
    <row r="10" spans="1:10" x14ac:dyDescent="0.25">
      <c r="A10" s="1" t="s">
        <v>35</v>
      </c>
      <c r="B10" s="1" t="s">
        <v>174</v>
      </c>
      <c r="C10" s="1" t="s">
        <v>167</v>
      </c>
      <c r="D10" s="1" t="s">
        <v>175</v>
      </c>
      <c r="E10" s="1" t="s">
        <v>176</v>
      </c>
      <c r="F10" s="1" t="s">
        <v>177</v>
      </c>
      <c r="G10" s="1" t="s">
        <v>171</v>
      </c>
      <c r="H10" s="1" t="s">
        <v>172</v>
      </c>
      <c r="I10" s="1" t="s">
        <v>178</v>
      </c>
      <c r="J10" s="1" t="s">
        <v>52</v>
      </c>
    </row>
    <row r="11" spans="1:10" x14ac:dyDescent="0.25">
      <c r="A11" s="1" t="s">
        <v>36</v>
      </c>
      <c r="B11" s="1" t="s">
        <v>179</v>
      </c>
      <c r="C11" s="1" t="s">
        <v>180</v>
      </c>
      <c r="D11" s="1" t="s">
        <v>168</v>
      </c>
      <c r="E11" s="1" t="s">
        <v>181</v>
      </c>
      <c r="F11" s="1" t="s">
        <v>182</v>
      </c>
      <c r="G11" s="1" t="s">
        <v>183</v>
      </c>
      <c r="H11" s="1" t="s">
        <v>184</v>
      </c>
      <c r="I11" s="1" t="s">
        <v>185</v>
      </c>
      <c r="J11" s="1" t="s">
        <v>52</v>
      </c>
    </row>
    <row r="12" spans="1:10" x14ac:dyDescent="0.25">
      <c r="A12" s="1" t="s">
        <v>37</v>
      </c>
      <c r="B12" s="1" t="s">
        <v>186</v>
      </c>
      <c r="C12" s="1" t="s">
        <v>187</v>
      </c>
      <c r="D12" s="1" t="s">
        <v>188</v>
      </c>
      <c r="E12" s="1" t="s">
        <v>189</v>
      </c>
      <c r="F12" s="1" t="s">
        <v>190</v>
      </c>
      <c r="G12" s="1" t="s">
        <v>191</v>
      </c>
      <c r="H12" s="1" t="s">
        <v>164</v>
      </c>
      <c r="I12" s="1" t="s">
        <v>192</v>
      </c>
      <c r="J12" s="1" t="s">
        <v>52</v>
      </c>
    </row>
    <row r="13" spans="1:10" x14ac:dyDescent="0.25">
      <c r="A13" s="1" t="s">
        <v>38</v>
      </c>
      <c r="B13" s="1" t="s">
        <v>193</v>
      </c>
      <c r="C13" s="1" t="s">
        <v>194</v>
      </c>
      <c r="D13" s="1" t="s">
        <v>195</v>
      </c>
      <c r="E13" s="1" t="s">
        <v>196</v>
      </c>
      <c r="F13" s="1" t="s">
        <v>197</v>
      </c>
      <c r="G13" s="1" t="s">
        <v>198</v>
      </c>
      <c r="H13" s="1" t="s">
        <v>199</v>
      </c>
      <c r="I13" s="1" t="s">
        <v>200</v>
      </c>
      <c r="J13" s="1" t="s">
        <v>52</v>
      </c>
    </row>
    <row r="14" spans="1:10" x14ac:dyDescent="0.25">
      <c r="A14" s="1" t="s">
        <v>39</v>
      </c>
      <c r="B14" s="1" t="s">
        <v>201</v>
      </c>
      <c r="C14" s="1" t="s">
        <v>180</v>
      </c>
      <c r="D14" s="1" t="s">
        <v>175</v>
      </c>
      <c r="E14" s="1" t="s">
        <v>202</v>
      </c>
      <c r="F14" s="1" t="s">
        <v>203</v>
      </c>
      <c r="G14" s="1" t="s">
        <v>204</v>
      </c>
      <c r="H14" s="1" t="s">
        <v>205</v>
      </c>
      <c r="I14" s="1" t="s">
        <v>206</v>
      </c>
      <c r="J14" s="1" t="s">
        <v>52</v>
      </c>
    </row>
    <row r="15" spans="1:10" x14ac:dyDescent="0.25">
      <c r="A15" s="1" t="s">
        <v>40</v>
      </c>
      <c r="B15" s="1" t="s">
        <v>207</v>
      </c>
      <c r="C15" s="1" t="s">
        <v>154</v>
      </c>
      <c r="D15" s="1" t="s">
        <v>135</v>
      </c>
      <c r="E15" s="1" t="s">
        <v>208</v>
      </c>
      <c r="F15" s="1" t="s">
        <v>209</v>
      </c>
      <c r="G15" s="1" t="s">
        <v>210</v>
      </c>
      <c r="H15" s="1" t="s">
        <v>211</v>
      </c>
      <c r="I15" s="1" t="s">
        <v>212</v>
      </c>
      <c r="J15" s="1" t="s">
        <v>52</v>
      </c>
    </row>
  </sheetData>
  <mergeCells count="1">
    <mergeCell ref="A1:H1"/>
  </mergeCells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workbookViewId="0">
      <pane ySplit="3" topLeftCell="A4" activePane="bottomLeft" state="frozen"/>
      <selection pane="bottomLeft" sqref="A1:F1"/>
    </sheetView>
  </sheetViews>
  <sheetFormatPr baseColWidth="10" defaultColWidth="9.140625" defaultRowHeight="15" x14ac:dyDescent="0.25"/>
  <cols>
    <col min="1" max="1" width="21" customWidth="1"/>
    <col min="2" max="2" width="60" customWidth="1"/>
    <col min="3" max="6" width="10" customWidth="1"/>
  </cols>
  <sheetData>
    <row r="1" spans="1:6" ht="27.95" customHeight="1" x14ac:dyDescent="0.25">
      <c r="A1" s="15" t="s">
        <v>213</v>
      </c>
      <c r="B1" s="16"/>
      <c r="C1" s="16"/>
      <c r="D1" s="16"/>
      <c r="E1" s="16"/>
      <c r="F1" s="16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3" t="s">
        <v>214</v>
      </c>
      <c r="B3" s="3">
        <v>1</v>
      </c>
      <c r="C3" s="3">
        <v>2</v>
      </c>
      <c r="D3" s="3">
        <v>3</v>
      </c>
      <c r="E3" s="3">
        <v>4</v>
      </c>
      <c r="F3" s="3">
        <v>5</v>
      </c>
    </row>
    <row r="4" spans="1:6" x14ac:dyDescent="0.25">
      <c r="A4" s="7">
        <v>1</v>
      </c>
      <c r="B4" s="8">
        <v>1</v>
      </c>
      <c r="C4" s="8">
        <v>2</v>
      </c>
      <c r="D4" s="8">
        <v>3</v>
      </c>
      <c r="E4" s="8">
        <v>4</v>
      </c>
      <c r="F4" s="9">
        <v>5</v>
      </c>
    </row>
    <row r="5" spans="1:6" x14ac:dyDescent="0.25">
      <c r="A5" s="7">
        <v>2</v>
      </c>
      <c r="B5" s="8">
        <v>2</v>
      </c>
      <c r="C5" s="8">
        <v>4</v>
      </c>
      <c r="D5" s="9">
        <v>6</v>
      </c>
      <c r="E5" s="9">
        <v>8</v>
      </c>
      <c r="F5" s="10">
        <v>10</v>
      </c>
    </row>
    <row r="6" spans="1:6" x14ac:dyDescent="0.25">
      <c r="A6" s="7">
        <v>3</v>
      </c>
      <c r="B6" s="8">
        <v>3</v>
      </c>
      <c r="C6" s="9">
        <v>6</v>
      </c>
      <c r="D6" s="9">
        <v>9</v>
      </c>
      <c r="E6" s="10">
        <v>12</v>
      </c>
      <c r="F6" s="10">
        <v>15</v>
      </c>
    </row>
    <row r="7" spans="1:6" x14ac:dyDescent="0.25">
      <c r="A7" s="7">
        <v>4</v>
      </c>
      <c r="B7" s="8">
        <v>4</v>
      </c>
      <c r="C7" s="9">
        <v>8</v>
      </c>
      <c r="D7" s="10">
        <v>12</v>
      </c>
      <c r="E7" s="11">
        <v>16</v>
      </c>
      <c r="F7" s="11">
        <v>20</v>
      </c>
    </row>
    <row r="8" spans="1:6" x14ac:dyDescent="0.25">
      <c r="A8" s="7">
        <v>5</v>
      </c>
      <c r="B8" s="9">
        <v>5</v>
      </c>
      <c r="C8" s="10">
        <v>10</v>
      </c>
      <c r="D8" s="10">
        <v>15</v>
      </c>
      <c r="E8" s="11">
        <v>20</v>
      </c>
      <c r="F8" s="11">
        <v>25</v>
      </c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 t="s">
        <v>215</v>
      </c>
      <c r="B10" s="1" t="s">
        <v>216</v>
      </c>
      <c r="C10" s="1"/>
      <c r="D10" s="1"/>
      <c r="E10" s="1"/>
      <c r="F10" s="1"/>
    </row>
    <row r="11" spans="1:6" ht="45" x14ac:dyDescent="0.25">
      <c r="A11" s="1" t="s">
        <v>217</v>
      </c>
      <c r="B11" s="1" t="s">
        <v>218</v>
      </c>
      <c r="C11" s="1"/>
      <c r="D11" s="1"/>
      <c r="E11" s="1"/>
      <c r="F11" s="1"/>
    </row>
  </sheetData>
  <mergeCells count="1">
    <mergeCell ref="A1:F1"/>
  </mergeCells>
  <pageMargins left="0.75" right="0.75" top="1" bottom="1" header="0.5" footer="0.5"/>
  <headerFooter>
    <oddFooter>&amp;C_x000D_&amp;1#&amp;"Aptos"&amp;10&amp;K000000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8"/>
  <sheetViews>
    <sheetView showGridLines="0" workbookViewId="0">
      <pane ySplit="3" topLeftCell="A19" activePane="bottomLeft" state="frozen"/>
      <selection pane="bottomLeft" activeCell="F29" sqref="F29"/>
    </sheetView>
  </sheetViews>
  <sheetFormatPr baseColWidth="10" defaultColWidth="9.140625" defaultRowHeight="15" x14ac:dyDescent="0.25"/>
  <cols>
    <col min="1" max="2" width="12" customWidth="1"/>
    <col min="3" max="3" width="32" customWidth="1"/>
    <col min="4" max="4" width="22" customWidth="1"/>
    <col min="5" max="5" width="55" customWidth="1"/>
    <col min="6" max="6" width="18" customWidth="1"/>
    <col min="7" max="7" width="45" customWidth="1"/>
    <col min="8" max="9" width="55" customWidth="1"/>
    <col min="10" max="10" width="14" customWidth="1"/>
    <col min="11" max="12" width="12" customWidth="1"/>
    <col min="13" max="13" width="13" customWidth="1"/>
    <col min="14" max="14" width="18" customWidth="1"/>
    <col min="15" max="15" width="65" customWidth="1"/>
    <col min="16" max="16" width="16" customWidth="1"/>
    <col min="17" max="17" width="14" customWidth="1"/>
    <col min="18" max="18" width="12" customWidth="1"/>
    <col min="19" max="19" width="13" customWidth="1"/>
    <col min="20" max="20" width="18" customWidth="1"/>
    <col min="21" max="21" width="12" customWidth="1"/>
    <col min="22" max="22" width="40" customWidth="1"/>
    <col min="23" max="23" width="26" customWidth="1"/>
  </cols>
  <sheetData>
    <row r="1" spans="1:23" ht="27.95" customHeight="1" x14ac:dyDescent="0.25">
      <c r="A1" s="15" t="s">
        <v>219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7" x14ac:dyDescent="0.25">
      <c r="A3" s="3" t="s">
        <v>220</v>
      </c>
      <c r="B3" s="3" t="s">
        <v>21</v>
      </c>
      <c r="C3" s="3" t="s">
        <v>221</v>
      </c>
      <c r="D3" s="3" t="s">
        <v>222</v>
      </c>
      <c r="E3" s="3" t="s">
        <v>223</v>
      </c>
      <c r="F3" s="3" t="s">
        <v>224</v>
      </c>
      <c r="G3" s="3" t="s">
        <v>225</v>
      </c>
      <c r="H3" s="3" t="s">
        <v>226</v>
      </c>
      <c r="I3" s="3" t="s">
        <v>227</v>
      </c>
      <c r="J3" s="3" t="s">
        <v>228</v>
      </c>
      <c r="K3" s="3" t="s">
        <v>229</v>
      </c>
      <c r="L3" s="3" t="s">
        <v>230</v>
      </c>
      <c r="M3" s="3" t="s">
        <v>231</v>
      </c>
      <c r="N3" s="3" t="s">
        <v>232</v>
      </c>
      <c r="O3" s="3" t="s">
        <v>233</v>
      </c>
      <c r="P3" s="3" t="s">
        <v>234</v>
      </c>
      <c r="Q3" s="3" t="s">
        <v>235</v>
      </c>
      <c r="R3" s="3" t="s">
        <v>236</v>
      </c>
      <c r="S3" s="3" t="s">
        <v>237</v>
      </c>
      <c r="T3" s="3" t="s">
        <v>238</v>
      </c>
      <c r="U3" s="3" t="s">
        <v>239</v>
      </c>
      <c r="V3" s="3" t="s">
        <v>240</v>
      </c>
      <c r="W3" s="3" t="s">
        <v>12</v>
      </c>
    </row>
    <row r="4" spans="1:23" ht="68.099999999999994" customHeight="1" x14ac:dyDescent="0.25">
      <c r="A4" s="1" t="s">
        <v>241</v>
      </c>
      <c r="B4" s="1" t="s">
        <v>30</v>
      </c>
      <c r="C4" s="1" t="s">
        <v>242</v>
      </c>
      <c r="D4" s="1" t="s">
        <v>243</v>
      </c>
      <c r="E4" s="1" t="s">
        <v>244</v>
      </c>
      <c r="F4" s="1" t="s">
        <v>245</v>
      </c>
      <c r="G4" s="1" t="s">
        <v>246</v>
      </c>
      <c r="H4" s="1" t="s">
        <v>247</v>
      </c>
      <c r="I4" s="1" t="s">
        <v>248</v>
      </c>
      <c r="J4" s="1">
        <v>3</v>
      </c>
      <c r="K4" s="1">
        <v>5</v>
      </c>
      <c r="L4" s="1">
        <f t="shared" ref="L4:L28" si="0">J4*K4</f>
        <v>15</v>
      </c>
      <c r="M4" s="1" t="str">
        <f t="shared" ref="M4:M28" si="1">IF(L4&gt;=16,"Critical",IF(L4&gt;=10,"High",IF(L4&gt;=5,"Medium","Low")))</f>
        <v>High</v>
      </c>
      <c r="N4" s="1" t="s">
        <v>249</v>
      </c>
      <c r="O4" s="1" t="s">
        <v>250</v>
      </c>
      <c r="P4" s="1">
        <v>1</v>
      </c>
      <c r="Q4" s="1">
        <v>5</v>
      </c>
      <c r="R4" s="1">
        <f t="shared" ref="R4:R28" si="2">P4*Q4</f>
        <v>5</v>
      </c>
      <c r="S4" s="1" t="str">
        <f t="shared" ref="S4:S28" si="3">IF(R4&gt;=16,"Critical",IF(R4&gt;=10,"High",IF(R4&gt;=5,"Medium","Low")))</f>
        <v>Medium</v>
      </c>
      <c r="T4" s="1" t="s">
        <v>251</v>
      </c>
      <c r="U4" s="1" t="s">
        <v>252</v>
      </c>
      <c r="V4" s="1" t="s">
        <v>253</v>
      </c>
      <c r="W4" s="1" t="s">
        <v>52</v>
      </c>
    </row>
    <row r="5" spans="1:23" ht="68.099999999999994" customHeight="1" x14ac:dyDescent="0.25">
      <c r="A5" s="1" t="s">
        <v>254</v>
      </c>
      <c r="B5" s="1" t="s">
        <v>30</v>
      </c>
      <c r="C5" s="1" t="s">
        <v>255</v>
      </c>
      <c r="D5" s="1" t="s">
        <v>256</v>
      </c>
      <c r="E5" s="1" t="s">
        <v>257</v>
      </c>
      <c r="F5" s="1" t="s">
        <v>258</v>
      </c>
      <c r="G5" s="1" t="s">
        <v>259</v>
      </c>
      <c r="H5" s="1" t="s">
        <v>260</v>
      </c>
      <c r="I5" s="1" t="s">
        <v>261</v>
      </c>
      <c r="J5" s="1">
        <v>3</v>
      </c>
      <c r="K5" s="1">
        <v>4</v>
      </c>
      <c r="L5" s="1">
        <f t="shared" si="0"/>
        <v>12</v>
      </c>
      <c r="M5" s="1" t="str">
        <f t="shared" si="1"/>
        <v>High</v>
      </c>
      <c r="N5" s="1" t="s">
        <v>249</v>
      </c>
      <c r="O5" s="1" t="s">
        <v>262</v>
      </c>
      <c r="P5" s="1">
        <v>2</v>
      </c>
      <c r="Q5" s="1">
        <v>3</v>
      </c>
      <c r="R5" s="1">
        <f t="shared" si="2"/>
        <v>6</v>
      </c>
      <c r="S5" s="1" t="str">
        <f t="shared" si="3"/>
        <v>Medium</v>
      </c>
      <c r="T5" s="1" t="s">
        <v>251</v>
      </c>
      <c r="U5" s="1" t="s">
        <v>252</v>
      </c>
      <c r="V5" s="1" t="s">
        <v>263</v>
      </c>
      <c r="W5" s="1" t="s">
        <v>52</v>
      </c>
    </row>
    <row r="6" spans="1:23" ht="68.099999999999994" customHeight="1" x14ac:dyDescent="0.25">
      <c r="A6" s="1" t="s">
        <v>264</v>
      </c>
      <c r="B6" s="1" t="s">
        <v>32</v>
      </c>
      <c r="C6" s="1" t="s">
        <v>265</v>
      </c>
      <c r="D6" s="1" t="s">
        <v>266</v>
      </c>
      <c r="E6" s="1" t="s">
        <v>267</v>
      </c>
      <c r="F6" s="1" t="s">
        <v>268</v>
      </c>
      <c r="G6" s="1" t="s">
        <v>269</v>
      </c>
      <c r="H6" s="1" t="s">
        <v>270</v>
      </c>
      <c r="I6" s="1" t="s">
        <v>271</v>
      </c>
      <c r="J6" s="1">
        <v>2</v>
      </c>
      <c r="K6" s="1">
        <v>5</v>
      </c>
      <c r="L6" s="1">
        <f t="shared" si="0"/>
        <v>10</v>
      </c>
      <c r="M6" s="1" t="str">
        <f t="shared" si="1"/>
        <v>High</v>
      </c>
      <c r="N6" s="1" t="s">
        <v>249</v>
      </c>
      <c r="O6" s="1" t="s">
        <v>272</v>
      </c>
      <c r="P6" s="1">
        <v>1</v>
      </c>
      <c r="Q6" s="1">
        <v>5</v>
      </c>
      <c r="R6" s="1">
        <f t="shared" si="2"/>
        <v>5</v>
      </c>
      <c r="S6" s="1" t="str">
        <f t="shared" si="3"/>
        <v>Medium</v>
      </c>
      <c r="T6" s="1" t="s">
        <v>273</v>
      </c>
      <c r="U6" s="1" t="s">
        <v>252</v>
      </c>
      <c r="V6" s="1" t="s">
        <v>274</v>
      </c>
      <c r="W6" s="1" t="s">
        <v>52</v>
      </c>
    </row>
    <row r="7" spans="1:23" ht="68.099999999999994" customHeight="1" x14ac:dyDescent="0.25">
      <c r="A7" s="1" t="s">
        <v>275</v>
      </c>
      <c r="B7" s="1" t="s">
        <v>32</v>
      </c>
      <c r="C7" s="1" t="s">
        <v>276</v>
      </c>
      <c r="D7" s="1" t="s">
        <v>256</v>
      </c>
      <c r="E7" s="1" t="s">
        <v>277</v>
      </c>
      <c r="F7" s="1" t="s">
        <v>278</v>
      </c>
      <c r="G7" s="1" t="s">
        <v>279</v>
      </c>
      <c r="H7" s="1" t="s">
        <v>280</v>
      </c>
      <c r="I7" s="1" t="s">
        <v>281</v>
      </c>
      <c r="J7" s="1">
        <v>3</v>
      </c>
      <c r="K7" s="1">
        <v>4</v>
      </c>
      <c r="L7" s="1">
        <f t="shared" si="0"/>
        <v>12</v>
      </c>
      <c r="M7" s="1" t="str">
        <f t="shared" si="1"/>
        <v>High</v>
      </c>
      <c r="N7" s="1" t="s">
        <v>249</v>
      </c>
      <c r="O7" s="1" t="s">
        <v>282</v>
      </c>
      <c r="P7" s="1">
        <v>2</v>
      </c>
      <c r="Q7" s="1">
        <v>3</v>
      </c>
      <c r="R7" s="1">
        <f t="shared" si="2"/>
        <v>6</v>
      </c>
      <c r="S7" s="1" t="str">
        <f t="shared" si="3"/>
        <v>Medium</v>
      </c>
      <c r="T7" s="1" t="s">
        <v>251</v>
      </c>
      <c r="U7" s="1" t="s">
        <v>252</v>
      </c>
      <c r="V7" s="1" t="s">
        <v>283</v>
      </c>
      <c r="W7" s="1" t="s">
        <v>52</v>
      </c>
    </row>
    <row r="8" spans="1:23" ht="68.099999999999994" customHeight="1" x14ac:dyDescent="0.25">
      <c r="A8" s="1" t="s">
        <v>284</v>
      </c>
      <c r="B8" s="1" t="s">
        <v>26</v>
      </c>
      <c r="C8" s="1" t="s">
        <v>285</v>
      </c>
      <c r="D8" s="1" t="s">
        <v>286</v>
      </c>
      <c r="E8" s="1" t="s">
        <v>287</v>
      </c>
      <c r="F8" s="1" t="s">
        <v>288</v>
      </c>
      <c r="G8" s="1" t="s">
        <v>289</v>
      </c>
      <c r="H8" s="1" t="s">
        <v>290</v>
      </c>
      <c r="I8" s="1" t="s">
        <v>291</v>
      </c>
      <c r="J8" s="1">
        <v>4</v>
      </c>
      <c r="K8" s="1">
        <v>3</v>
      </c>
      <c r="L8" s="1">
        <f t="shared" si="0"/>
        <v>12</v>
      </c>
      <c r="M8" s="1" t="str">
        <f t="shared" si="1"/>
        <v>High</v>
      </c>
      <c r="N8" s="1" t="s">
        <v>249</v>
      </c>
      <c r="O8" s="1" t="s">
        <v>292</v>
      </c>
      <c r="P8" s="1">
        <v>2</v>
      </c>
      <c r="Q8" s="1">
        <v>2</v>
      </c>
      <c r="R8" s="1">
        <f t="shared" si="2"/>
        <v>4</v>
      </c>
      <c r="S8" s="1" t="str">
        <f t="shared" si="3"/>
        <v>Low</v>
      </c>
      <c r="T8" s="1" t="s">
        <v>251</v>
      </c>
      <c r="U8" s="1" t="s">
        <v>252</v>
      </c>
      <c r="V8" s="1" t="s">
        <v>293</v>
      </c>
      <c r="W8" s="1" t="s">
        <v>52</v>
      </c>
    </row>
    <row r="9" spans="1:23" ht="68.099999999999994" customHeight="1" x14ac:dyDescent="0.25">
      <c r="A9" s="1" t="s">
        <v>294</v>
      </c>
      <c r="B9" s="1" t="s">
        <v>26</v>
      </c>
      <c r="C9" s="1" t="s">
        <v>295</v>
      </c>
      <c r="D9" s="1" t="s">
        <v>296</v>
      </c>
      <c r="E9" s="1" t="s">
        <v>297</v>
      </c>
      <c r="F9" s="1" t="s">
        <v>298</v>
      </c>
      <c r="G9" s="1" t="s">
        <v>299</v>
      </c>
      <c r="H9" s="1" t="s">
        <v>300</v>
      </c>
      <c r="I9" s="1" t="s">
        <v>301</v>
      </c>
      <c r="J9" s="1">
        <v>3</v>
      </c>
      <c r="K9" s="1">
        <v>5</v>
      </c>
      <c r="L9" s="1">
        <f t="shared" si="0"/>
        <v>15</v>
      </c>
      <c r="M9" s="1" t="str">
        <f t="shared" si="1"/>
        <v>High</v>
      </c>
      <c r="N9" s="1" t="s">
        <v>249</v>
      </c>
      <c r="O9" s="1" t="s">
        <v>302</v>
      </c>
      <c r="P9" s="1">
        <v>1</v>
      </c>
      <c r="Q9" s="1">
        <v>5</v>
      </c>
      <c r="R9" s="1">
        <f t="shared" si="2"/>
        <v>5</v>
      </c>
      <c r="S9" s="1" t="str">
        <f t="shared" si="3"/>
        <v>Medium</v>
      </c>
      <c r="T9" s="1" t="s">
        <v>251</v>
      </c>
      <c r="U9" s="1" t="s">
        <v>252</v>
      </c>
      <c r="V9" s="1" t="s">
        <v>303</v>
      </c>
      <c r="W9" s="1" t="s">
        <v>52</v>
      </c>
    </row>
    <row r="10" spans="1:23" ht="68.099999999999994" customHeight="1" x14ac:dyDescent="0.25">
      <c r="A10" s="1" t="s">
        <v>304</v>
      </c>
      <c r="B10" s="1" t="s">
        <v>26</v>
      </c>
      <c r="C10" s="1" t="s">
        <v>305</v>
      </c>
      <c r="D10" s="1" t="s">
        <v>306</v>
      </c>
      <c r="E10" s="1" t="s">
        <v>307</v>
      </c>
      <c r="F10" s="1" t="s">
        <v>308</v>
      </c>
      <c r="G10" s="1" t="s">
        <v>309</v>
      </c>
      <c r="H10" s="1" t="s">
        <v>310</v>
      </c>
      <c r="I10" s="1" t="s">
        <v>311</v>
      </c>
      <c r="J10" s="1">
        <v>3</v>
      </c>
      <c r="K10" s="1">
        <v>5</v>
      </c>
      <c r="L10" s="1">
        <f t="shared" si="0"/>
        <v>15</v>
      </c>
      <c r="M10" s="1" t="str">
        <f t="shared" si="1"/>
        <v>High</v>
      </c>
      <c r="N10" s="1" t="s">
        <v>249</v>
      </c>
      <c r="O10" s="1" t="s">
        <v>312</v>
      </c>
      <c r="P10" s="1">
        <v>1</v>
      </c>
      <c r="Q10" s="1">
        <v>4</v>
      </c>
      <c r="R10" s="1">
        <f t="shared" si="2"/>
        <v>4</v>
      </c>
      <c r="S10" s="1" t="str">
        <f t="shared" si="3"/>
        <v>Low</v>
      </c>
      <c r="T10" s="1" t="s">
        <v>251</v>
      </c>
      <c r="U10" s="1" t="s">
        <v>252</v>
      </c>
      <c r="V10" s="1" t="s">
        <v>313</v>
      </c>
      <c r="W10" s="1" t="s">
        <v>52</v>
      </c>
    </row>
    <row r="11" spans="1:23" ht="68.099999999999994" customHeight="1" x14ac:dyDescent="0.25">
      <c r="A11" s="1" t="s">
        <v>314</v>
      </c>
      <c r="B11" s="1" t="s">
        <v>26</v>
      </c>
      <c r="C11" s="1" t="s">
        <v>315</v>
      </c>
      <c r="D11" s="1" t="s">
        <v>316</v>
      </c>
      <c r="E11" s="1" t="s">
        <v>317</v>
      </c>
      <c r="F11" s="1" t="s">
        <v>318</v>
      </c>
      <c r="G11" s="1" t="s">
        <v>319</v>
      </c>
      <c r="H11" s="1" t="s">
        <v>320</v>
      </c>
      <c r="I11" s="1" t="s">
        <v>321</v>
      </c>
      <c r="J11" s="1">
        <v>4</v>
      </c>
      <c r="K11" s="1">
        <v>4</v>
      </c>
      <c r="L11" s="1">
        <f t="shared" si="0"/>
        <v>16</v>
      </c>
      <c r="M11" s="1" t="str">
        <f t="shared" si="1"/>
        <v>Critical</v>
      </c>
      <c r="N11" s="1" t="s">
        <v>249</v>
      </c>
      <c r="O11" s="1" t="s">
        <v>322</v>
      </c>
      <c r="P11" s="1">
        <v>2</v>
      </c>
      <c r="Q11" s="1">
        <v>3</v>
      </c>
      <c r="R11" s="1">
        <f t="shared" si="2"/>
        <v>6</v>
      </c>
      <c r="S11" s="1" t="str">
        <f t="shared" si="3"/>
        <v>Medium</v>
      </c>
      <c r="T11" s="1" t="s">
        <v>251</v>
      </c>
      <c r="U11" s="1" t="s">
        <v>252</v>
      </c>
      <c r="V11" s="1" t="s">
        <v>323</v>
      </c>
      <c r="W11" s="1" t="s">
        <v>52</v>
      </c>
    </row>
    <row r="12" spans="1:23" ht="68.099999999999994" customHeight="1" x14ac:dyDescent="0.25">
      <c r="A12" s="1" t="s">
        <v>324</v>
      </c>
      <c r="B12" s="1" t="s">
        <v>24</v>
      </c>
      <c r="C12" s="1" t="s">
        <v>325</v>
      </c>
      <c r="D12" s="1" t="s">
        <v>243</v>
      </c>
      <c r="E12" s="1" t="s">
        <v>326</v>
      </c>
      <c r="F12" s="1" t="s">
        <v>327</v>
      </c>
      <c r="G12" s="1" t="s">
        <v>328</v>
      </c>
      <c r="H12" s="1" t="s">
        <v>329</v>
      </c>
      <c r="I12" s="1" t="s">
        <v>330</v>
      </c>
      <c r="J12" s="1">
        <v>3</v>
      </c>
      <c r="K12" s="1">
        <v>5</v>
      </c>
      <c r="L12" s="1">
        <f t="shared" si="0"/>
        <v>15</v>
      </c>
      <c r="M12" s="1" t="str">
        <f t="shared" si="1"/>
        <v>High</v>
      </c>
      <c r="N12" s="1" t="s">
        <v>249</v>
      </c>
      <c r="O12" s="1" t="s">
        <v>331</v>
      </c>
      <c r="P12" s="1">
        <v>1</v>
      </c>
      <c r="Q12" s="1">
        <v>5</v>
      </c>
      <c r="R12" s="1">
        <f t="shared" si="2"/>
        <v>5</v>
      </c>
      <c r="S12" s="1" t="str">
        <f t="shared" si="3"/>
        <v>Medium</v>
      </c>
      <c r="T12" s="1" t="s">
        <v>273</v>
      </c>
      <c r="U12" s="1" t="s">
        <v>252</v>
      </c>
      <c r="V12" s="1" t="s">
        <v>332</v>
      </c>
      <c r="W12" s="1" t="s">
        <v>52</v>
      </c>
    </row>
    <row r="13" spans="1:23" ht="68.099999999999994" customHeight="1" x14ac:dyDescent="0.25">
      <c r="A13" s="1" t="s">
        <v>333</v>
      </c>
      <c r="B13" s="1" t="s">
        <v>24</v>
      </c>
      <c r="C13" s="1" t="s">
        <v>334</v>
      </c>
      <c r="D13" s="1" t="s">
        <v>243</v>
      </c>
      <c r="E13" s="1" t="s">
        <v>335</v>
      </c>
      <c r="F13" s="1" t="s">
        <v>336</v>
      </c>
      <c r="G13" s="1" t="s">
        <v>337</v>
      </c>
      <c r="H13" s="1" t="s">
        <v>338</v>
      </c>
      <c r="I13" s="1" t="s">
        <v>339</v>
      </c>
      <c r="J13" s="1">
        <v>3</v>
      </c>
      <c r="K13" s="1">
        <v>5</v>
      </c>
      <c r="L13" s="1">
        <f t="shared" si="0"/>
        <v>15</v>
      </c>
      <c r="M13" s="1" t="str">
        <f t="shared" si="1"/>
        <v>High</v>
      </c>
      <c r="N13" s="1" t="s">
        <v>249</v>
      </c>
      <c r="O13" s="1" t="s">
        <v>340</v>
      </c>
      <c r="P13" s="1">
        <v>1</v>
      </c>
      <c r="Q13" s="1">
        <v>5</v>
      </c>
      <c r="R13" s="1">
        <f t="shared" si="2"/>
        <v>5</v>
      </c>
      <c r="S13" s="1" t="str">
        <f t="shared" si="3"/>
        <v>Medium</v>
      </c>
      <c r="T13" s="1" t="s">
        <v>273</v>
      </c>
      <c r="U13" s="1" t="s">
        <v>252</v>
      </c>
      <c r="V13" s="1" t="s">
        <v>341</v>
      </c>
      <c r="W13" s="1" t="s">
        <v>52</v>
      </c>
    </row>
    <row r="14" spans="1:23" ht="68.099999999999994" customHeight="1" x14ac:dyDescent="0.25">
      <c r="A14" s="1" t="s">
        <v>342</v>
      </c>
      <c r="B14" s="1" t="s">
        <v>24</v>
      </c>
      <c r="C14" s="1" t="s">
        <v>343</v>
      </c>
      <c r="D14" s="1" t="s">
        <v>344</v>
      </c>
      <c r="E14" s="1" t="s">
        <v>345</v>
      </c>
      <c r="F14" s="1" t="s">
        <v>346</v>
      </c>
      <c r="G14" s="1" t="s">
        <v>347</v>
      </c>
      <c r="H14" s="1" t="s">
        <v>348</v>
      </c>
      <c r="I14" s="1" t="s">
        <v>349</v>
      </c>
      <c r="J14" s="1">
        <v>3</v>
      </c>
      <c r="K14" s="1">
        <v>4</v>
      </c>
      <c r="L14" s="1">
        <f t="shared" si="0"/>
        <v>12</v>
      </c>
      <c r="M14" s="1" t="str">
        <f t="shared" si="1"/>
        <v>High</v>
      </c>
      <c r="N14" s="1" t="s">
        <v>249</v>
      </c>
      <c r="O14" s="1" t="s">
        <v>350</v>
      </c>
      <c r="P14" s="1">
        <v>1</v>
      </c>
      <c r="Q14" s="1">
        <v>3</v>
      </c>
      <c r="R14" s="1">
        <f t="shared" si="2"/>
        <v>3</v>
      </c>
      <c r="S14" s="1" t="str">
        <f t="shared" si="3"/>
        <v>Low</v>
      </c>
      <c r="T14" s="1" t="s">
        <v>251</v>
      </c>
      <c r="U14" s="1" t="s">
        <v>252</v>
      </c>
      <c r="V14" s="1" t="s">
        <v>351</v>
      </c>
      <c r="W14" s="1" t="s">
        <v>52</v>
      </c>
    </row>
    <row r="15" spans="1:23" s="14" customFormat="1" ht="68.099999999999994" customHeight="1" x14ac:dyDescent="0.25">
      <c r="A15" s="13" t="s">
        <v>352</v>
      </c>
      <c r="B15" s="13" t="s">
        <v>24</v>
      </c>
      <c r="C15" s="13" t="s">
        <v>353</v>
      </c>
      <c r="D15" s="13" t="s">
        <v>256</v>
      </c>
      <c r="E15" s="13" t="s">
        <v>354</v>
      </c>
      <c r="F15" s="13" t="s">
        <v>355</v>
      </c>
      <c r="G15" s="13" t="s">
        <v>356</v>
      </c>
      <c r="H15" s="13" t="s">
        <v>357</v>
      </c>
      <c r="I15" s="13" t="s">
        <v>358</v>
      </c>
      <c r="J15" s="13">
        <v>3</v>
      </c>
      <c r="K15" s="13">
        <v>4</v>
      </c>
      <c r="L15" s="13">
        <f t="shared" si="0"/>
        <v>12</v>
      </c>
      <c r="M15" s="13" t="str">
        <f t="shared" si="1"/>
        <v>High</v>
      </c>
      <c r="N15" s="13" t="s">
        <v>249</v>
      </c>
      <c r="O15" s="13" t="s">
        <v>359</v>
      </c>
      <c r="P15" s="13">
        <v>1</v>
      </c>
      <c r="Q15" s="13">
        <v>3</v>
      </c>
      <c r="R15" s="13">
        <f t="shared" si="2"/>
        <v>3</v>
      </c>
      <c r="S15" s="13" t="str">
        <f t="shared" si="3"/>
        <v>Low</v>
      </c>
      <c r="T15" s="13" t="s">
        <v>273</v>
      </c>
      <c r="U15" s="13" t="s">
        <v>252</v>
      </c>
      <c r="V15" s="13" t="s">
        <v>360</v>
      </c>
      <c r="W15" s="13" t="s">
        <v>52</v>
      </c>
    </row>
    <row r="16" spans="1:23" ht="68.099999999999994" customHeight="1" x14ac:dyDescent="0.25">
      <c r="A16" s="1" t="s">
        <v>361</v>
      </c>
      <c r="B16" s="1" t="s">
        <v>24</v>
      </c>
      <c r="C16" s="1" t="s">
        <v>362</v>
      </c>
      <c r="D16" s="1" t="s">
        <v>306</v>
      </c>
      <c r="E16" s="1" t="s">
        <v>363</v>
      </c>
      <c r="F16" s="1" t="s">
        <v>364</v>
      </c>
      <c r="G16" s="1" t="s">
        <v>365</v>
      </c>
      <c r="H16" s="1" t="s">
        <v>366</v>
      </c>
      <c r="I16" s="1" t="s">
        <v>367</v>
      </c>
      <c r="J16" s="1">
        <v>3</v>
      </c>
      <c r="K16" s="1">
        <v>5</v>
      </c>
      <c r="L16" s="1">
        <f t="shared" si="0"/>
        <v>15</v>
      </c>
      <c r="M16" s="1" t="str">
        <f t="shared" si="1"/>
        <v>High</v>
      </c>
      <c r="N16" s="1" t="s">
        <v>249</v>
      </c>
      <c r="O16" s="1" t="s">
        <v>368</v>
      </c>
      <c r="P16" s="1">
        <v>1</v>
      </c>
      <c r="Q16" s="1">
        <v>4</v>
      </c>
      <c r="R16" s="1">
        <f t="shared" si="2"/>
        <v>4</v>
      </c>
      <c r="S16" s="1" t="str">
        <f t="shared" si="3"/>
        <v>Low</v>
      </c>
      <c r="T16" s="1" t="s">
        <v>251</v>
      </c>
      <c r="U16" s="1" t="s">
        <v>252</v>
      </c>
      <c r="V16" s="1" t="s">
        <v>369</v>
      </c>
      <c r="W16" s="1" t="s">
        <v>52</v>
      </c>
    </row>
    <row r="17" spans="1:23" ht="68.099999999999994" customHeight="1" x14ac:dyDescent="0.25">
      <c r="A17" s="1" t="s">
        <v>370</v>
      </c>
      <c r="B17" s="1" t="s">
        <v>28</v>
      </c>
      <c r="C17" s="1" t="s">
        <v>371</v>
      </c>
      <c r="D17" s="1" t="s">
        <v>243</v>
      </c>
      <c r="E17" s="1" t="s">
        <v>372</v>
      </c>
      <c r="F17" s="1" t="s">
        <v>373</v>
      </c>
      <c r="G17" s="1" t="s">
        <v>374</v>
      </c>
      <c r="H17" s="1" t="s">
        <v>375</v>
      </c>
      <c r="I17" s="1" t="s">
        <v>376</v>
      </c>
      <c r="J17" s="1">
        <v>3</v>
      </c>
      <c r="K17" s="1">
        <v>5</v>
      </c>
      <c r="L17" s="1">
        <f t="shared" si="0"/>
        <v>15</v>
      </c>
      <c r="M17" s="1" t="str">
        <f t="shared" si="1"/>
        <v>High</v>
      </c>
      <c r="N17" s="1" t="s">
        <v>249</v>
      </c>
      <c r="O17" s="1" t="s">
        <v>377</v>
      </c>
      <c r="P17" s="1">
        <v>1</v>
      </c>
      <c r="Q17" s="1">
        <v>5</v>
      </c>
      <c r="R17" s="1">
        <f t="shared" si="2"/>
        <v>5</v>
      </c>
      <c r="S17" s="1" t="str">
        <f t="shared" si="3"/>
        <v>Medium</v>
      </c>
      <c r="T17" s="1" t="s">
        <v>251</v>
      </c>
      <c r="U17" s="1" t="s">
        <v>252</v>
      </c>
      <c r="V17" s="1" t="s">
        <v>378</v>
      </c>
      <c r="W17" s="1" t="s">
        <v>52</v>
      </c>
    </row>
    <row r="18" spans="1:23" ht="68.099999999999994" customHeight="1" x14ac:dyDescent="0.25">
      <c r="A18" s="1" t="s">
        <v>379</v>
      </c>
      <c r="B18" s="1" t="s">
        <v>28</v>
      </c>
      <c r="C18" s="1" t="s">
        <v>380</v>
      </c>
      <c r="D18" s="1" t="s">
        <v>243</v>
      </c>
      <c r="E18" s="1" t="s">
        <v>381</v>
      </c>
      <c r="F18" s="1" t="s">
        <v>382</v>
      </c>
      <c r="G18" s="1" t="s">
        <v>383</v>
      </c>
      <c r="H18" s="1" t="s">
        <v>384</v>
      </c>
      <c r="I18" s="1" t="s">
        <v>385</v>
      </c>
      <c r="J18" s="1">
        <v>3</v>
      </c>
      <c r="K18" s="1">
        <v>4</v>
      </c>
      <c r="L18" s="1">
        <f t="shared" si="0"/>
        <v>12</v>
      </c>
      <c r="M18" s="1" t="str">
        <f t="shared" si="1"/>
        <v>High</v>
      </c>
      <c r="N18" s="1" t="s">
        <v>249</v>
      </c>
      <c r="O18" s="1" t="s">
        <v>386</v>
      </c>
      <c r="P18" s="1">
        <v>1</v>
      </c>
      <c r="Q18" s="1">
        <v>3</v>
      </c>
      <c r="R18" s="1">
        <f t="shared" si="2"/>
        <v>3</v>
      </c>
      <c r="S18" s="1" t="str">
        <f t="shared" si="3"/>
        <v>Low</v>
      </c>
      <c r="T18" s="1" t="s">
        <v>251</v>
      </c>
      <c r="U18" s="1" t="s">
        <v>252</v>
      </c>
      <c r="V18" s="1" t="s">
        <v>387</v>
      </c>
      <c r="W18" s="1" t="s">
        <v>52</v>
      </c>
    </row>
    <row r="19" spans="1:23" ht="68.099999999999994" customHeight="1" x14ac:dyDescent="0.25">
      <c r="A19" s="1" t="s">
        <v>388</v>
      </c>
      <c r="B19" s="1" t="s">
        <v>28</v>
      </c>
      <c r="C19" s="1" t="s">
        <v>389</v>
      </c>
      <c r="D19" s="1" t="s">
        <v>256</v>
      </c>
      <c r="E19" s="1" t="s">
        <v>390</v>
      </c>
      <c r="F19" s="1" t="s">
        <v>391</v>
      </c>
      <c r="G19" s="1" t="s">
        <v>392</v>
      </c>
      <c r="H19" s="1" t="s">
        <v>393</v>
      </c>
      <c r="I19" s="1" t="s">
        <v>394</v>
      </c>
      <c r="J19" s="1">
        <v>3</v>
      </c>
      <c r="K19" s="1">
        <v>3</v>
      </c>
      <c r="L19" s="1">
        <f t="shared" si="0"/>
        <v>9</v>
      </c>
      <c r="M19" s="1" t="str">
        <f t="shared" si="1"/>
        <v>Medium</v>
      </c>
      <c r="N19" s="1" t="s">
        <v>249</v>
      </c>
      <c r="O19" s="1" t="s">
        <v>395</v>
      </c>
      <c r="P19" s="1">
        <v>1</v>
      </c>
      <c r="Q19" s="1">
        <v>2</v>
      </c>
      <c r="R19" s="1">
        <f t="shared" si="2"/>
        <v>2</v>
      </c>
      <c r="S19" s="1" t="str">
        <f t="shared" si="3"/>
        <v>Low</v>
      </c>
      <c r="T19" s="1" t="s">
        <v>251</v>
      </c>
      <c r="U19" s="1" t="s">
        <v>252</v>
      </c>
      <c r="V19" s="1" t="s">
        <v>396</v>
      </c>
      <c r="W19" s="1" t="s">
        <v>52</v>
      </c>
    </row>
    <row r="20" spans="1:23" ht="68.099999999999994" customHeight="1" x14ac:dyDescent="0.25">
      <c r="A20" s="1" t="s">
        <v>397</v>
      </c>
      <c r="B20" s="1" t="s">
        <v>34</v>
      </c>
      <c r="C20" s="1" t="s">
        <v>398</v>
      </c>
      <c r="D20" s="1" t="s">
        <v>399</v>
      </c>
      <c r="E20" s="1" t="s">
        <v>400</v>
      </c>
      <c r="F20" s="1" t="s">
        <v>172</v>
      </c>
      <c r="G20" s="1" t="s">
        <v>401</v>
      </c>
      <c r="H20" s="1" t="s">
        <v>402</v>
      </c>
      <c r="I20" s="1" t="s">
        <v>403</v>
      </c>
      <c r="J20" s="1">
        <v>3</v>
      </c>
      <c r="K20" s="1">
        <v>5</v>
      </c>
      <c r="L20" s="1">
        <f t="shared" si="0"/>
        <v>15</v>
      </c>
      <c r="M20" s="1" t="str">
        <f t="shared" si="1"/>
        <v>High</v>
      </c>
      <c r="N20" s="1" t="s">
        <v>249</v>
      </c>
      <c r="O20" s="1" t="s">
        <v>404</v>
      </c>
      <c r="P20" s="1">
        <v>2</v>
      </c>
      <c r="Q20" s="1">
        <v>4</v>
      </c>
      <c r="R20" s="1">
        <f t="shared" si="2"/>
        <v>8</v>
      </c>
      <c r="S20" s="1" t="str">
        <f t="shared" si="3"/>
        <v>Medium</v>
      </c>
      <c r="T20" s="1" t="s">
        <v>273</v>
      </c>
      <c r="U20" s="1" t="s">
        <v>252</v>
      </c>
      <c r="V20" s="1" t="s">
        <v>405</v>
      </c>
      <c r="W20" s="1" t="s">
        <v>52</v>
      </c>
    </row>
    <row r="21" spans="1:23" ht="68.099999999999994" customHeight="1" x14ac:dyDescent="0.25">
      <c r="A21" s="1" t="s">
        <v>406</v>
      </c>
      <c r="B21" s="1" t="s">
        <v>35</v>
      </c>
      <c r="C21" s="1" t="s">
        <v>407</v>
      </c>
      <c r="D21" s="1" t="s">
        <v>399</v>
      </c>
      <c r="E21" s="1" t="s">
        <v>408</v>
      </c>
      <c r="F21" s="1" t="s">
        <v>172</v>
      </c>
      <c r="G21" s="1" t="s">
        <v>409</v>
      </c>
      <c r="H21" s="1" t="s">
        <v>410</v>
      </c>
      <c r="I21" s="1" t="s">
        <v>411</v>
      </c>
      <c r="J21" s="1">
        <v>2</v>
      </c>
      <c r="K21" s="1">
        <v>5</v>
      </c>
      <c r="L21" s="1">
        <f t="shared" si="0"/>
        <v>10</v>
      </c>
      <c r="M21" s="1" t="str">
        <f t="shared" si="1"/>
        <v>High</v>
      </c>
      <c r="N21" s="1" t="s">
        <v>249</v>
      </c>
      <c r="O21" s="1" t="s">
        <v>412</v>
      </c>
      <c r="P21" s="1">
        <v>1</v>
      </c>
      <c r="Q21" s="1">
        <v>5</v>
      </c>
      <c r="R21" s="1">
        <f t="shared" si="2"/>
        <v>5</v>
      </c>
      <c r="S21" s="1" t="str">
        <f t="shared" si="3"/>
        <v>Medium</v>
      </c>
      <c r="T21" s="1" t="s">
        <v>273</v>
      </c>
      <c r="U21" s="1" t="s">
        <v>252</v>
      </c>
      <c r="V21" s="1" t="s">
        <v>413</v>
      </c>
      <c r="W21" s="1" t="s">
        <v>52</v>
      </c>
    </row>
    <row r="22" spans="1:23" ht="68.099999999999994" customHeight="1" x14ac:dyDescent="0.25">
      <c r="A22" s="1" t="s">
        <v>414</v>
      </c>
      <c r="B22" s="1" t="s">
        <v>36</v>
      </c>
      <c r="C22" s="1" t="s">
        <v>415</v>
      </c>
      <c r="D22" s="1" t="s">
        <v>243</v>
      </c>
      <c r="E22" s="1" t="s">
        <v>416</v>
      </c>
      <c r="F22" s="1" t="s">
        <v>417</v>
      </c>
      <c r="G22" s="1" t="s">
        <v>418</v>
      </c>
      <c r="H22" s="1" t="s">
        <v>419</v>
      </c>
      <c r="I22" s="1" t="s">
        <v>420</v>
      </c>
      <c r="J22" s="1">
        <v>3</v>
      </c>
      <c r="K22" s="1">
        <v>4</v>
      </c>
      <c r="L22" s="1">
        <f t="shared" si="0"/>
        <v>12</v>
      </c>
      <c r="M22" s="1" t="str">
        <f t="shared" si="1"/>
        <v>High</v>
      </c>
      <c r="N22" s="1" t="s">
        <v>249</v>
      </c>
      <c r="O22" s="1" t="s">
        <v>421</v>
      </c>
      <c r="P22" s="1">
        <v>2</v>
      </c>
      <c r="Q22" s="1">
        <v>3</v>
      </c>
      <c r="R22" s="1">
        <f t="shared" si="2"/>
        <v>6</v>
      </c>
      <c r="S22" s="1" t="str">
        <f t="shared" si="3"/>
        <v>Medium</v>
      </c>
      <c r="T22" s="1" t="s">
        <v>422</v>
      </c>
      <c r="U22" s="1" t="s">
        <v>252</v>
      </c>
      <c r="V22" s="1" t="s">
        <v>423</v>
      </c>
      <c r="W22" s="1" t="s">
        <v>52</v>
      </c>
    </row>
    <row r="23" spans="1:23" ht="68.099999999999994" customHeight="1" x14ac:dyDescent="0.25">
      <c r="A23" s="1" t="s">
        <v>424</v>
      </c>
      <c r="B23" s="1" t="s">
        <v>37</v>
      </c>
      <c r="C23" s="1" t="s">
        <v>425</v>
      </c>
      <c r="D23" s="1" t="s">
        <v>306</v>
      </c>
      <c r="E23" s="1" t="s">
        <v>426</v>
      </c>
      <c r="F23" s="1" t="s">
        <v>164</v>
      </c>
      <c r="G23" s="1" t="s">
        <v>427</v>
      </c>
      <c r="H23" s="1" t="s">
        <v>428</v>
      </c>
      <c r="I23" s="1" t="s">
        <v>429</v>
      </c>
      <c r="J23" s="1">
        <v>2</v>
      </c>
      <c r="K23" s="1">
        <v>5</v>
      </c>
      <c r="L23" s="1">
        <f t="shared" si="0"/>
        <v>10</v>
      </c>
      <c r="M23" s="1" t="str">
        <f t="shared" si="1"/>
        <v>High</v>
      </c>
      <c r="N23" s="1" t="s">
        <v>249</v>
      </c>
      <c r="O23" s="1" t="s">
        <v>430</v>
      </c>
      <c r="P23" s="1">
        <v>1</v>
      </c>
      <c r="Q23" s="1">
        <v>4</v>
      </c>
      <c r="R23" s="1">
        <f t="shared" si="2"/>
        <v>4</v>
      </c>
      <c r="S23" s="1" t="str">
        <f t="shared" si="3"/>
        <v>Low</v>
      </c>
      <c r="T23" s="1" t="s">
        <v>251</v>
      </c>
      <c r="U23" s="1" t="s">
        <v>252</v>
      </c>
      <c r="V23" s="1" t="s">
        <v>431</v>
      </c>
      <c r="W23" s="1" t="s">
        <v>52</v>
      </c>
    </row>
    <row r="24" spans="1:23" ht="68.099999999999994" customHeight="1" x14ac:dyDescent="0.25">
      <c r="A24" s="1" t="s">
        <v>432</v>
      </c>
      <c r="B24" s="1" t="s">
        <v>38</v>
      </c>
      <c r="C24" s="1" t="s">
        <v>193</v>
      </c>
      <c r="D24" s="1" t="s">
        <v>256</v>
      </c>
      <c r="E24" s="1" t="s">
        <v>433</v>
      </c>
      <c r="F24" s="1" t="s">
        <v>434</v>
      </c>
      <c r="G24" s="1" t="s">
        <v>435</v>
      </c>
      <c r="H24" s="1" t="s">
        <v>436</v>
      </c>
      <c r="I24" s="1" t="s">
        <v>437</v>
      </c>
      <c r="J24" s="1">
        <v>3</v>
      </c>
      <c r="K24" s="1">
        <v>4</v>
      </c>
      <c r="L24" s="1">
        <f t="shared" si="0"/>
        <v>12</v>
      </c>
      <c r="M24" s="1" t="str">
        <f t="shared" si="1"/>
        <v>High</v>
      </c>
      <c r="N24" s="1" t="s">
        <v>438</v>
      </c>
      <c r="O24" s="1" t="s">
        <v>439</v>
      </c>
      <c r="P24" s="1">
        <v>2</v>
      </c>
      <c r="Q24" s="1">
        <v>3</v>
      </c>
      <c r="R24" s="1">
        <f t="shared" si="2"/>
        <v>6</v>
      </c>
      <c r="S24" s="1" t="str">
        <f t="shared" si="3"/>
        <v>Medium</v>
      </c>
      <c r="T24" s="1" t="s">
        <v>440</v>
      </c>
      <c r="U24" s="1" t="s">
        <v>252</v>
      </c>
      <c r="V24" s="1" t="s">
        <v>441</v>
      </c>
      <c r="W24" s="1" t="s">
        <v>52</v>
      </c>
    </row>
    <row r="25" spans="1:23" ht="68.099999999999994" customHeight="1" x14ac:dyDescent="0.25">
      <c r="A25" s="1" t="s">
        <v>442</v>
      </c>
      <c r="B25" s="1" t="s">
        <v>39</v>
      </c>
      <c r="C25" s="1" t="s">
        <v>201</v>
      </c>
      <c r="D25" s="1" t="s">
        <v>443</v>
      </c>
      <c r="E25" s="1" t="s">
        <v>444</v>
      </c>
      <c r="F25" s="1" t="s">
        <v>205</v>
      </c>
      <c r="G25" s="1" t="s">
        <v>445</v>
      </c>
      <c r="H25" s="1" t="s">
        <v>446</v>
      </c>
      <c r="I25" s="1" t="s">
        <v>447</v>
      </c>
      <c r="J25" s="1">
        <v>2</v>
      </c>
      <c r="K25" s="1">
        <v>2</v>
      </c>
      <c r="L25" s="1">
        <f t="shared" si="0"/>
        <v>4</v>
      </c>
      <c r="M25" s="1" t="str">
        <f t="shared" si="1"/>
        <v>Low</v>
      </c>
      <c r="N25" s="1" t="s">
        <v>448</v>
      </c>
      <c r="O25" s="1" t="s">
        <v>449</v>
      </c>
      <c r="P25" s="1">
        <v>1</v>
      </c>
      <c r="Q25" s="1">
        <v>2</v>
      </c>
      <c r="R25" s="1">
        <f t="shared" si="2"/>
        <v>2</v>
      </c>
      <c r="S25" s="1" t="str">
        <f t="shared" si="3"/>
        <v>Low</v>
      </c>
      <c r="T25" s="1" t="s">
        <v>251</v>
      </c>
      <c r="U25" s="1" t="s">
        <v>252</v>
      </c>
      <c r="V25" s="1" t="s">
        <v>450</v>
      </c>
      <c r="W25" s="1" t="s">
        <v>52</v>
      </c>
    </row>
    <row r="26" spans="1:23" ht="68.099999999999994" customHeight="1" x14ac:dyDescent="0.25">
      <c r="A26" s="1" t="s">
        <v>451</v>
      </c>
      <c r="B26" s="1" t="s">
        <v>40</v>
      </c>
      <c r="C26" s="1" t="s">
        <v>452</v>
      </c>
      <c r="D26" s="1" t="s">
        <v>316</v>
      </c>
      <c r="E26" s="1" t="s">
        <v>453</v>
      </c>
      <c r="F26" s="1" t="s">
        <v>211</v>
      </c>
      <c r="G26" s="1" t="s">
        <v>454</v>
      </c>
      <c r="H26" s="1" t="s">
        <v>455</v>
      </c>
      <c r="I26" s="1" t="s">
        <v>456</v>
      </c>
      <c r="J26" s="1">
        <v>2</v>
      </c>
      <c r="K26" s="1">
        <v>5</v>
      </c>
      <c r="L26" s="1">
        <f t="shared" si="0"/>
        <v>10</v>
      </c>
      <c r="M26" s="1" t="str">
        <f t="shared" si="1"/>
        <v>High</v>
      </c>
      <c r="N26" s="1" t="s">
        <v>249</v>
      </c>
      <c r="O26" s="1" t="s">
        <v>457</v>
      </c>
      <c r="P26" s="1">
        <v>1</v>
      </c>
      <c r="Q26" s="1">
        <v>4</v>
      </c>
      <c r="R26" s="1">
        <f t="shared" si="2"/>
        <v>4</v>
      </c>
      <c r="S26" s="1" t="str">
        <f t="shared" si="3"/>
        <v>Low</v>
      </c>
      <c r="T26" s="1" t="s">
        <v>273</v>
      </c>
      <c r="U26" s="1" t="s">
        <v>252</v>
      </c>
      <c r="V26" s="1" t="s">
        <v>458</v>
      </c>
      <c r="W26" s="1" t="s">
        <v>52</v>
      </c>
    </row>
    <row r="27" spans="1:23" ht="68.099999999999994" customHeight="1" x14ac:dyDescent="0.25">
      <c r="A27" s="1" t="s">
        <v>459</v>
      </c>
      <c r="B27" s="1" t="s">
        <v>41</v>
      </c>
      <c r="C27" s="1" t="s">
        <v>460</v>
      </c>
      <c r="D27" s="1" t="s">
        <v>461</v>
      </c>
      <c r="E27" s="1" t="s">
        <v>462</v>
      </c>
      <c r="F27" s="1" t="s">
        <v>463</v>
      </c>
      <c r="G27" s="1" t="s">
        <v>464</v>
      </c>
      <c r="H27" s="1" t="s">
        <v>465</v>
      </c>
      <c r="I27" s="1" t="s">
        <v>466</v>
      </c>
      <c r="J27" s="1">
        <v>4</v>
      </c>
      <c r="K27" s="1">
        <v>4</v>
      </c>
      <c r="L27" s="1">
        <f t="shared" si="0"/>
        <v>16</v>
      </c>
      <c r="M27" s="1" t="str">
        <f t="shared" si="1"/>
        <v>Critical</v>
      </c>
      <c r="N27" s="1" t="s">
        <v>438</v>
      </c>
      <c r="O27" s="1" t="s">
        <v>467</v>
      </c>
      <c r="P27" s="1">
        <v>2</v>
      </c>
      <c r="Q27" s="1">
        <v>3</v>
      </c>
      <c r="R27" s="1">
        <f t="shared" si="2"/>
        <v>6</v>
      </c>
      <c r="S27" s="1" t="str">
        <f t="shared" si="3"/>
        <v>Medium</v>
      </c>
      <c r="T27" s="1" t="s">
        <v>440</v>
      </c>
      <c r="U27" s="1" t="s">
        <v>252</v>
      </c>
      <c r="V27" s="1" t="s">
        <v>468</v>
      </c>
      <c r="W27" s="1" t="s">
        <v>52</v>
      </c>
    </row>
    <row r="28" spans="1:23" ht="68.099999999999994" customHeight="1" x14ac:dyDescent="0.25">
      <c r="A28" s="1" t="s">
        <v>469</v>
      </c>
      <c r="B28" s="1" t="s">
        <v>42</v>
      </c>
      <c r="C28" s="1" t="s">
        <v>470</v>
      </c>
      <c r="D28" s="1" t="s">
        <v>266</v>
      </c>
      <c r="E28" s="1" t="s">
        <v>471</v>
      </c>
      <c r="F28" s="1" t="s">
        <v>472</v>
      </c>
      <c r="G28" s="1" t="s">
        <v>473</v>
      </c>
      <c r="H28" s="1" t="s">
        <v>474</v>
      </c>
      <c r="I28" s="1" t="s">
        <v>475</v>
      </c>
      <c r="J28" s="1">
        <v>3</v>
      </c>
      <c r="K28" s="1">
        <v>5</v>
      </c>
      <c r="L28" s="1">
        <f t="shared" si="0"/>
        <v>15</v>
      </c>
      <c r="M28" s="1" t="str">
        <f t="shared" si="1"/>
        <v>High</v>
      </c>
      <c r="N28" s="1" t="s">
        <v>438</v>
      </c>
      <c r="O28" s="1" t="s">
        <v>476</v>
      </c>
      <c r="P28" s="1">
        <v>2</v>
      </c>
      <c r="Q28" s="1">
        <v>4</v>
      </c>
      <c r="R28" s="1">
        <f t="shared" si="2"/>
        <v>8</v>
      </c>
      <c r="S28" s="1" t="str">
        <f t="shared" si="3"/>
        <v>Medium</v>
      </c>
      <c r="T28" s="1" t="s">
        <v>440</v>
      </c>
      <c r="U28" s="1" t="s">
        <v>252</v>
      </c>
      <c r="V28" s="1" t="s">
        <v>477</v>
      </c>
      <c r="W28" s="1" t="s">
        <v>52</v>
      </c>
    </row>
  </sheetData>
  <mergeCells count="1">
    <mergeCell ref="A1:H1"/>
  </mergeCells>
  <conditionalFormatting sqref="M4:M28">
    <cfRule type="expression" dxfId="9" priority="1">
      <formula>M4="Critical"</formula>
    </cfRule>
    <cfRule type="expression" dxfId="8" priority="2">
      <formula>M4="High"</formula>
    </cfRule>
    <cfRule type="expression" dxfId="7" priority="3">
      <formula>M4="Medium"</formula>
    </cfRule>
    <cfRule type="expression" dxfId="6" priority="4">
      <formula>M4="Low"</formula>
    </cfRule>
  </conditionalFormatting>
  <conditionalFormatting sqref="S4:S28">
    <cfRule type="expression" dxfId="5" priority="5">
      <formula>S4="Critical"</formula>
    </cfRule>
    <cfRule type="expression" dxfId="4" priority="6">
      <formula>S4="High"</formula>
    </cfRule>
    <cfRule type="expression" dxfId="3" priority="7">
      <formula>S4="Medium"</formula>
    </cfRule>
    <cfRule type="expression" dxfId="2" priority="8">
      <formula>S4="Low"</formula>
    </cfRule>
  </conditionalFormatting>
  <conditionalFormatting sqref="U4:U28">
    <cfRule type="expression" dxfId="1" priority="9">
      <formula>U4="Open"</formula>
    </cfRule>
    <cfRule type="expression" dxfId="0" priority="10">
      <formula>U4="Review"</formula>
    </cfRule>
  </conditionalFormatting>
  <dataValidations count="1">
    <dataValidation type="whole" sqref="P4:Q28 J4:K28" xr:uid="{00000000-0002-0000-0600-000000000000}">
      <formula1>1</formula1>
      <formula2>5</formula2>
    </dataValidation>
  </dataValidations>
  <pageMargins left="0.75" right="0.75" top="1" bottom="1" header="0.5" footer="0.5"/>
  <headerFooter>
    <oddFooter>&amp;C_x000D_&amp;1#&amp;"Aptos"&amp;10&amp;K000000 INTERNAL</oddFooter>
  </headerFooter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9.140625" defaultRowHeight="15" x14ac:dyDescent="0.25"/>
  <cols>
    <col min="1" max="1" width="44" customWidth="1"/>
    <col min="2" max="2" width="22" customWidth="1"/>
    <col min="3" max="3" width="60" customWidth="1"/>
    <col min="4" max="4" width="57" customWidth="1"/>
    <col min="5" max="5" width="21" customWidth="1"/>
    <col min="6" max="6" width="60" customWidth="1"/>
    <col min="7" max="7" width="10" customWidth="1"/>
    <col min="8" max="8" width="28" customWidth="1"/>
  </cols>
  <sheetData>
    <row r="1" spans="1:8" ht="27.95" customHeight="1" x14ac:dyDescent="0.25">
      <c r="A1" s="15" t="s">
        <v>478</v>
      </c>
      <c r="B1" s="16"/>
      <c r="C1" s="16"/>
      <c r="D1" s="16"/>
      <c r="E1" s="16"/>
      <c r="F1" s="16"/>
      <c r="G1" s="16"/>
      <c r="H1" s="16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3" t="s">
        <v>479</v>
      </c>
      <c r="B3" s="3" t="s">
        <v>480</v>
      </c>
      <c r="C3" s="3" t="s">
        <v>481</v>
      </c>
      <c r="D3" s="3" t="s">
        <v>482</v>
      </c>
      <c r="E3" s="3" t="s">
        <v>483</v>
      </c>
      <c r="F3" s="3" t="s">
        <v>484</v>
      </c>
      <c r="G3" s="3" t="s">
        <v>239</v>
      </c>
      <c r="H3" s="3" t="s">
        <v>12</v>
      </c>
    </row>
    <row r="4" spans="1:8" ht="44.1" customHeight="1" x14ac:dyDescent="0.25">
      <c r="A4" s="1" t="s">
        <v>485</v>
      </c>
      <c r="B4" s="1" t="s">
        <v>486</v>
      </c>
      <c r="C4" s="1" t="s">
        <v>487</v>
      </c>
      <c r="D4" s="1" t="s">
        <v>488</v>
      </c>
      <c r="E4" s="1" t="s">
        <v>273</v>
      </c>
      <c r="F4" s="1" t="s">
        <v>489</v>
      </c>
      <c r="G4" s="1" t="s">
        <v>252</v>
      </c>
      <c r="H4" s="1" t="s">
        <v>52</v>
      </c>
    </row>
    <row r="5" spans="1:8" ht="44.1" customHeight="1" x14ac:dyDescent="0.25">
      <c r="A5" s="1" t="s">
        <v>490</v>
      </c>
      <c r="B5" s="1" t="s">
        <v>491</v>
      </c>
      <c r="C5" s="1" t="s">
        <v>492</v>
      </c>
      <c r="D5" s="1" t="s">
        <v>493</v>
      </c>
      <c r="E5" s="1" t="s">
        <v>273</v>
      </c>
      <c r="F5" s="1" t="s">
        <v>494</v>
      </c>
      <c r="G5" s="1" t="s">
        <v>252</v>
      </c>
      <c r="H5" s="1" t="s">
        <v>52</v>
      </c>
    </row>
    <row r="6" spans="1:8" ht="44.1" customHeight="1" x14ac:dyDescent="0.25">
      <c r="A6" s="1" t="s">
        <v>495</v>
      </c>
      <c r="B6" s="1" t="s">
        <v>496</v>
      </c>
      <c r="C6" s="1" t="s">
        <v>497</v>
      </c>
      <c r="D6" s="1" t="s">
        <v>498</v>
      </c>
      <c r="E6" s="1" t="s">
        <v>251</v>
      </c>
      <c r="F6" s="1" t="s">
        <v>499</v>
      </c>
      <c r="G6" s="1" t="s">
        <v>252</v>
      </c>
      <c r="H6" s="1" t="s">
        <v>52</v>
      </c>
    </row>
    <row r="7" spans="1:8" ht="44.1" customHeight="1" x14ac:dyDescent="0.25">
      <c r="A7" s="1" t="s">
        <v>500</v>
      </c>
      <c r="B7" s="1" t="s">
        <v>501</v>
      </c>
      <c r="C7" s="1" t="s">
        <v>502</v>
      </c>
      <c r="D7" s="1" t="s">
        <v>503</v>
      </c>
      <c r="E7" s="1" t="s">
        <v>251</v>
      </c>
      <c r="F7" s="1" t="s">
        <v>504</v>
      </c>
      <c r="G7" s="1" t="s">
        <v>252</v>
      </c>
      <c r="H7" s="1" t="s">
        <v>52</v>
      </c>
    </row>
    <row r="8" spans="1:8" ht="44.1" customHeight="1" x14ac:dyDescent="0.25">
      <c r="A8" s="1" t="s">
        <v>505</v>
      </c>
      <c r="B8" s="1" t="s">
        <v>506</v>
      </c>
      <c r="C8" s="1" t="s">
        <v>507</v>
      </c>
      <c r="D8" s="1" t="s">
        <v>508</v>
      </c>
      <c r="E8" s="1" t="s">
        <v>273</v>
      </c>
      <c r="F8" s="1" t="s">
        <v>509</v>
      </c>
      <c r="G8" s="1" t="s">
        <v>252</v>
      </c>
      <c r="H8" s="1" t="s">
        <v>52</v>
      </c>
    </row>
    <row r="9" spans="1:8" ht="44.1" customHeight="1" x14ac:dyDescent="0.25">
      <c r="A9" s="1" t="s">
        <v>510</v>
      </c>
      <c r="B9" s="1" t="s">
        <v>511</v>
      </c>
      <c r="C9" s="1" t="s">
        <v>512</v>
      </c>
      <c r="D9" s="1" t="s">
        <v>513</v>
      </c>
      <c r="E9" s="1" t="s">
        <v>514</v>
      </c>
      <c r="F9" s="1" t="s">
        <v>515</v>
      </c>
      <c r="G9" s="1" t="s">
        <v>252</v>
      </c>
      <c r="H9" s="1" t="s">
        <v>52</v>
      </c>
    </row>
    <row r="10" spans="1:8" ht="44.1" customHeight="1" x14ac:dyDescent="0.25">
      <c r="A10" s="1" t="s">
        <v>516</v>
      </c>
      <c r="B10" s="1" t="s">
        <v>517</v>
      </c>
      <c r="C10" s="1" t="s">
        <v>518</v>
      </c>
      <c r="D10" s="1" t="s">
        <v>519</v>
      </c>
      <c r="E10" s="1" t="s">
        <v>422</v>
      </c>
      <c r="F10" s="1" t="s">
        <v>520</v>
      </c>
      <c r="G10" s="1" t="s">
        <v>252</v>
      </c>
      <c r="H10" s="1" t="s">
        <v>52</v>
      </c>
    </row>
    <row r="11" spans="1:8" ht="44.1" customHeight="1" x14ac:dyDescent="0.25">
      <c r="A11" s="1" t="s">
        <v>521</v>
      </c>
      <c r="B11" s="1" t="s">
        <v>522</v>
      </c>
      <c r="C11" s="1" t="s">
        <v>523</v>
      </c>
      <c r="D11" s="1" t="s">
        <v>524</v>
      </c>
      <c r="E11" s="1" t="s">
        <v>61</v>
      </c>
      <c r="F11" s="1" t="s">
        <v>525</v>
      </c>
      <c r="G11" s="1" t="s">
        <v>252</v>
      </c>
      <c r="H11" s="1" t="s">
        <v>52</v>
      </c>
    </row>
    <row r="12" spans="1:8" ht="44.1" customHeight="1" x14ac:dyDescent="0.25">
      <c r="A12" s="1" t="s">
        <v>526</v>
      </c>
      <c r="B12" s="1" t="s">
        <v>527</v>
      </c>
      <c r="C12" s="1" t="s">
        <v>528</v>
      </c>
      <c r="D12" s="1" t="s">
        <v>529</v>
      </c>
      <c r="E12" s="1" t="s">
        <v>251</v>
      </c>
      <c r="F12" s="1" t="s">
        <v>530</v>
      </c>
      <c r="G12" s="1" t="s">
        <v>252</v>
      </c>
      <c r="H12" s="1" t="s">
        <v>52</v>
      </c>
    </row>
    <row r="13" spans="1:8" ht="44.1" customHeight="1" x14ac:dyDescent="0.25">
      <c r="A13" s="1" t="s">
        <v>531</v>
      </c>
      <c r="B13" s="1" t="s">
        <v>532</v>
      </c>
      <c r="C13" s="1" t="s">
        <v>533</v>
      </c>
      <c r="D13" s="1" t="s">
        <v>534</v>
      </c>
      <c r="E13" s="1" t="s">
        <v>251</v>
      </c>
      <c r="F13" s="1" t="s">
        <v>535</v>
      </c>
      <c r="G13" s="1" t="s">
        <v>252</v>
      </c>
      <c r="H13" s="1" t="s">
        <v>52</v>
      </c>
    </row>
  </sheetData>
  <mergeCells count="1">
    <mergeCell ref="A1:H1"/>
  </mergeCells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9.140625" defaultRowHeight="15" x14ac:dyDescent="0.25"/>
  <cols>
    <col min="1" max="2" width="28" customWidth="1"/>
    <col min="3" max="10" width="10" customWidth="1"/>
    <col min="11" max="11" width="60" customWidth="1"/>
    <col min="12" max="12" width="28" customWidth="1"/>
  </cols>
  <sheetData>
    <row r="1" spans="1:12" ht="27.95" customHeight="1" x14ac:dyDescent="0.25">
      <c r="A1" s="15" t="s">
        <v>536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21</v>
      </c>
      <c r="B3" s="3" t="s">
        <v>537</v>
      </c>
      <c r="C3" s="3" t="s">
        <v>86</v>
      </c>
      <c r="D3" s="3" t="s">
        <v>91</v>
      </c>
      <c r="E3" s="3" t="s">
        <v>96</v>
      </c>
      <c r="F3" s="3" t="s">
        <v>101</v>
      </c>
      <c r="G3" s="3" t="s">
        <v>106</v>
      </c>
      <c r="H3" s="3" t="s">
        <v>110</v>
      </c>
      <c r="I3" s="3" t="s">
        <v>115</v>
      </c>
      <c r="J3" s="3" t="s">
        <v>119</v>
      </c>
      <c r="K3" s="3" t="s">
        <v>538</v>
      </c>
      <c r="L3" s="3" t="s">
        <v>12</v>
      </c>
    </row>
    <row r="4" spans="1:12" ht="30" x14ac:dyDescent="0.25">
      <c r="A4" s="1" t="s">
        <v>30</v>
      </c>
      <c r="B4" s="1" t="s">
        <v>133</v>
      </c>
      <c r="C4" s="1"/>
      <c r="D4" s="12" t="s">
        <v>539</v>
      </c>
      <c r="E4" s="12" t="s">
        <v>539</v>
      </c>
      <c r="F4" s="1"/>
      <c r="G4" s="1"/>
      <c r="H4" s="12" t="s">
        <v>539</v>
      </c>
      <c r="I4" s="1"/>
      <c r="J4" s="12" t="s">
        <v>539</v>
      </c>
      <c r="K4" s="1" t="s">
        <v>540</v>
      </c>
      <c r="L4" s="1" t="s">
        <v>52</v>
      </c>
    </row>
    <row r="5" spans="1:12" ht="30" x14ac:dyDescent="0.25">
      <c r="A5" s="1" t="s">
        <v>32</v>
      </c>
      <c r="B5" s="1" t="s">
        <v>141</v>
      </c>
      <c r="C5" s="12" t="s">
        <v>539</v>
      </c>
      <c r="D5" s="1"/>
      <c r="E5" s="12" t="s">
        <v>539</v>
      </c>
      <c r="F5" s="1"/>
      <c r="G5" s="1"/>
      <c r="H5" s="12" t="s">
        <v>539</v>
      </c>
      <c r="I5" s="1"/>
      <c r="J5" s="12" t="s">
        <v>539</v>
      </c>
      <c r="K5" s="1" t="s">
        <v>540</v>
      </c>
      <c r="L5" s="1" t="s">
        <v>52</v>
      </c>
    </row>
    <row r="6" spans="1:12" ht="30" x14ac:dyDescent="0.25">
      <c r="A6" s="1" t="s">
        <v>26</v>
      </c>
      <c r="B6" s="1" t="s">
        <v>148</v>
      </c>
      <c r="C6" s="1"/>
      <c r="D6" s="1"/>
      <c r="E6" s="1"/>
      <c r="F6" s="12" t="s">
        <v>539</v>
      </c>
      <c r="G6" s="12" t="s">
        <v>539</v>
      </c>
      <c r="H6" s="12" t="s">
        <v>539</v>
      </c>
      <c r="I6" s="12" t="s">
        <v>539</v>
      </c>
      <c r="J6" s="12" t="s">
        <v>539</v>
      </c>
      <c r="K6" s="1" t="s">
        <v>540</v>
      </c>
      <c r="L6" s="1" t="s">
        <v>52</v>
      </c>
    </row>
    <row r="7" spans="1:12" ht="30" x14ac:dyDescent="0.25">
      <c r="A7" s="1" t="s">
        <v>24</v>
      </c>
      <c r="B7" s="1" t="s">
        <v>153</v>
      </c>
      <c r="C7" s="12" t="s">
        <v>539</v>
      </c>
      <c r="D7" s="12" t="s">
        <v>539</v>
      </c>
      <c r="E7" s="12" t="s">
        <v>539</v>
      </c>
      <c r="F7" s="12" t="s">
        <v>539</v>
      </c>
      <c r="G7" s="12" t="s">
        <v>539</v>
      </c>
      <c r="H7" s="12" t="s">
        <v>539</v>
      </c>
      <c r="I7" s="12" t="s">
        <v>539</v>
      </c>
      <c r="J7" s="12" t="s">
        <v>539</v>
      </c>
      <c r="K7" s="1" t="s">
        <v>540</v>
      </c>
      <c r="L7" s="1" t="s">
        <v>52</v>
      </c>
    </row>
    <row r="8" spans="1:12" ht="30" x14ac:dyDescent="0.25">
      <c r="A8" s="1" t="s">
        <v>28</v>
      </c>
      <c r="B8" s="1" t="s">
        <v>160</v>
      </c>
      <c r="C8" s="1"/>
      <c r="D8" s="1"/>
      <c r="E8" s="1"/>
      <c r="F8" s="12" t="s">
        <v>539</v>
      </c>
      <c r="G8" s="1"/>
      <c r="H8" s="12" t="s">
        <v>539</v>
      </c>
      <c r="I8" s="12" t="s">
        <v>539</v>
      </c>
      <c r="J8" s="12" t="s">
        <v>539</v>
      </c>
      <c r="K8" s="1" t="s">
        <v>540</v>
      </c>
      <c r="L8" s="1" t="s">
        <v>52</v>
      </c>
    </row>
    <row r="9" spans="1:12" ht="30" x14ac:dyDescent="0.25">
      <c r="A9" s="1" t="s">
        <v>34</v>
      </c>
      <c r="B9" s="1" t="s">
        <v>166</v>
      </c>
      <c r="C9" s="12" t="s">
        <v>539</v>
      </c>
      <c r="D9" s="1"/>
      <c r="E9" s="12" t="s">
        <v>539</v>
      </c>
      <c r="F9" s="1"/>
      <c r="G9" s="12" t="s">
        <v>539</v>
      </c>
      <c r="H9" s="1"/>
      <c r="I9" s="1"/>
      <c r="J9" s="12" t="s">
        <v>539</v>
      </c>
      <c r="K9" s="1" t="s">
        <v>540</v>
      </c>
      <c r="L9" s="1" t="s">
        <v>52</v>
      </c>
    </row>
    <row r="10" spans="1:12" ht="30" x14ac:dyDescent="0.25">
      <c r="A10" s="1" t="s">
        <v>35</v>
      </c>
      <c r="B10" s="1" t="s">
        <v>174</v>
      </c>
      <c r="C10" s="12" t="s">
        <v>539</v>
      </c>
      <c r="D10" s="1"/>
      <c r="E10" s="12" t="s">
        <v>539</v>
      </c>
      <c r="F10" s="1"/>
      <c r="G10" s="12" t="s">
        <v>539</v>
      </c>
      <c r="H10" s="1"/>
      <c r="I10" s="1"/>
      <c r="J10" s="12" t="s">
        <v>539</v>
      </c>
      <c r="K10" s="1" t="s">
        <v>540</v>
      </c>
      <c r="L10" s="1" t="s">
        <v>52</v>
      </c>
    </row>
    <row r="11" spans="1:12" ht="30" x14ac:dyDescent="0.25">
      <c r="A11" s="1" t="s">
        <v>36</v>
      </c>
      <c r="B11" s="1" t="s">
        <v>179</v>
      </c>
      <c r="C11" s="1"/>
      <c r="D11" s="12" t="s">
        <v>539</v>
      </c>
      <c r="E11" s="1"/>
      <c r="F11" s="1"/>
      <c r="G11" s="1"/>
      <c r="H11" s="12" t="s">
        <v>539</v>
      </c>
      <c r="I11" s="12" t="s">
        <v>539</v>
      </c>
      <c r="J11" s="12" t="s">
        <v>539</v>
      </c>
      <c r="K11" s="1" t="s">
        <v>540</v>
      </c>
      <c r="L11" s="1" t="s">
        <v>52</v>
      </c>
    </row>
    <row r="12" spans="1:12" ht="30" x14ac:dyDescent="0.25">
      <c r="A12" s="1" t="s">
        <v>37</v>
      </c>
      <c r="B12" s="1" t="s">
        <v>186</v>
      </c>
      <c r="C12" s="1"/>
      <c r="D12" s="1"/>
      <c r="E12" s="1"/>
      <c r="F12" s="12" t="s">
        <v>539</v>
      </c>
      <c r="G12" s="1"/>
      <c r="H12" s="12" t="s">
        <v>539</v>
      </c>
      <c r="I12" s="12" t="s">
        <v>539</v>
      </c>
      <c r="J12" s="12" t="s">
        <v>539</v>
      </c>
      <c r="K12" s="1" t="s">
        <v>540</v>
      </c>
      <c r="L12" s="1" t="s">
        <v>52</v>
      </c>
    </row>
    <row r="13" spans="1:12" ht="30" x14ac:dyDescent="0.25">
      <c r="A13" s="1" t="s">
        <v>38</v>
      </c>
      <c r="B13" s="1" t="s">
        <v>193</v>
      </c>
      <c r="C13" s="12" t="s">
        <v>539</v>
      </c>
      <c r="D13" s="1"/>
      <c r="E13" s="1"/>
      <c r="F13" s="1"/>
      <c r="G13" s="1"/>
      <c r="H13" s="1"/>
      <c r="I13" s="1"/>
      <c r="J13" s="12" t="s">
        <v>539</v>
      </c>
      <c r="K13" s="1" t="s">
        <v>540</v>
      </c>
      <c r="L13" s="1" t="s">
        <v>52</v>
      </c>
    </row>
    <row r="14" spans="1:12" ht="30" x14ac:dyDescent="0.25">
      <c r="A14" s="1" t="s">
        <v>39</v>
      </c>
      <c r="B14" s="1" t="s">
        <v>201</v>
      </c>
      <c r="C14" s="1"/>
      <c r="D14" s="1"/>
      <c r="E14" s="1"/>
      <c r="F14" s="1"/>
      <c r="G14" s="12" t="s">
        <v>539</v>
      </c>
      <c r="H14" s="1"/>
      <c r="I14" s="1"/>
      <c r="J14" s="12" t="s">
        <v>539</v>
      </c>
      <c r="K14" s="1" t="s">
        <v>540</v>
      </c>
      <c r="L14" s="1" t="s">
        <v>52</v>
      </c>
    </row>
    <row r="15" spans="1:12" ht="30" x14ac:dyDescent="0.25">
      <c r="A15" s="1" t="s">
        <v>40</v>
      </c>
      <c r="B15" s="1" t="s">
        <v>207</v>
      </c>
      <c r="C15" s="12" t="s">
        <v>539</v>
      </c>
      <c r="D15" s="1"/>
      <c r="E15" s="12" t="s">
        <v>539</v>
      </c>
      <c r="F15" s="1"/>
      <c r="G15" s="12" t="s">
        <v>539</v>
      </c>
      <c r="H15" s="12" t="s">
        <v>539</v>
      </c>
      <c r="I15" s="1"/>
      <c r="J15" s="12" t="s">
        <v>539</v>
      </c>
      <c r="K15" s="1" t="s">
        <v>540</v>
      </c>
      <c r="L15" s="1" t="s">
        <v>52</v>
      </c>
    </row>
  </sheetData>
  <mergeCells count="1">
    <mergeCell ref="A1:H1"/>
  </mergeCells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e97c528e-e8db-4a71-b5cb-4edd5b40a06c}" enabled="1" method="Standard" siteId="{2782ef14-4849-46b4-b90d-d7e83fc425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README</vt:lpstr>
      <vt:lpstr>Dashboard</vt:lpstr>
      <vt:lpstr>SUC_Assumptions</vt:lpstr>
      <vt:lpstr>Assets</vt:lpstr>
      <vt:lpstr>Interfaces</vt:lpstr>
      <vt:lpstr>Risk_Matrix</vt:lpstr>
      <vt:lpstr>TARA</vt:lpstr>
      <vt:lpstr>Requirements</vt:lpstr>
      <vt:lpstr>Interface_Asset_Matrix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Ruess, Bastian</dc:creator>
  <cp:keywords/>
  <dc:description/>
  <cp:lastModifiedBy>Nuber, Nathalie</cp:lastModifiedBy>
  <cp:revision/>
  <dcterms:created xsi:type="dcterms:W3CDTF">2026-08-10T19:27:53Z</dcterms:created>
  <dcterms:modified xsi:type="dcterms:W3CDTF">2026-08-11T14:21:15Z</dcterms:modified>
  <cp:category/>
  <cp:contentStatus/>
</cp:coreProperties>
</file>